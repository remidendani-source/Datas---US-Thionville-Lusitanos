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rmdendani/Downloads/"/>
    </mc:Choice>
  </mc:AlternateContent>
  <xr:revisionPtr revIDLastSave="0" documentId="13_ncr:1_{91898BEC-00A4-724B-B2B1-DABC25C17F1F}" xr6:coauthVersionLast="47" xr6:coauthVersionMax="47" xr10:uidLastSave="{00000000-0000-0000-0000-000000000000}"/>
  <bookViews>
    <workbookView xWindow="1020" yWindow="660" windowWidth="26040" windowHeight="18460" activeTab="1" xr2:uid="{00000000-000D-0000-FFFF-FFFF00000000}"/>
  </bookViews>
  <sheets>
    <sheet name="Stats gen N2" sheetId="1" r:id="rId1"/>
    <sheet name="Stats gen L3" sheetId="2" r:id="rId2"/>
    <sheet name="Stats off N2" sheetId="3" r:id="rId3"/>
    <sheet name="Stats off L3" sheetId="4" r:id="rId4"/>
    <sheet name="Stats def N2" sheetId="5" r:id="rId5"/>
    <sheet name="Stats def L3" sheetId="6" r:id="rId6"/>
    <sheet name="Stats pass N2" sheetId="7" r:id="rId7"/>
    <sheet name="Stats pass L3" sheetId="8" r:id="rId8"/>
    <sheet name="Stats index N2" sheetId="9" r:id="rId9"/>
    <sheet name="Stats index L3" sheetId="10" r:id="rId10"/>
    <sheet name="Samir Bouzar" sheetId="11" r:id="rId11"/>
    <sheet name="Cachito Wanduka" sheetId="12" r:id="rId12"/>
    <sheet name="Marly Rampont" sheetId="13" r:id="rId13"/>
    <sheet name="Muamer Aljic" sheetId="14" r:id="rId14"/>
    <sheet name="David Luvualu" sheetId="15" r:id="rId15"/>
    <sheet name="Jérémy Lauratet" sheetId="16" r:id="rId16"/>
    <sheet name="Samed Kilic" sheetId="17" r:id="rId17"/>
    <sheet name="Jalil Moustaid" sheetId="18" r:id="rId18"/>
    <sheet name="Clément Couturier" sheetId="19" r:id="rId19"/>
    <sheet name="Bryan Labissière" sheetId="20" r:id="rId20"/>
    <sheet name="Alexis Gouletquer" sheetId="21" r:id="rId21"/>
    <sheet name="Karim Bouhmidi" sheetId="22" r:id="rId22"/>
    <sheet name="Chafik Gourichy" sheetId="23" r:id="rId23"/>
    <sheet name="Bourama Diarra" sheetId="24" r:id="rId24"/>
    <sheet name="Joseph Atangana" sheetId="25" r:id="rId25"/>
    <sheet name="Enzo Montet" sheetId="26" r:id="rId26"/>
    <sheet name="Kylian Tubio" sheetId="27" r:id="rId27"/>
    <sheet name="Gauthier Laurens" sheetId="28" r:id="rId28"/>
    <sheet name="Fadel Gobitaka" sheetId="29" r:id="rId29"/>
    <sheet name="Simon Kalambayi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6" l="1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M3" i="10"/>
  <c r="L3" i="10"/>
  <c r="K3" i="10"/>
  <c r="J3" i="10"/>
  <c r="I3" i="10"/>
  <c r="H3" i="10"/>
  <c r="M2" i="10"/>
  <c r="L2" i="10"/>
  <c r="K2" i="10"/>
  <c r="J2" i="10"/>
  <c r="I2" i="10"/>
  <c r="H2" i="10"/>
  <c r="M3" i="9"/>
  <c r="L3" i="9"/>
  <c r="K3" i="9"/>
  <c r="J3" i="9"/>
  <c r="I3" i="9"/>
  <c r="H3" i="9"/>
  <c r="M2" i="9"/>
  <c r="L2" i="9"/>
  <c r="K2" i="9"/>
  <c r="J2" i="9"/>
  <c r="I2" i="9"/>
  <c r="H2" i="9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<sst xmlns="http://schemas.openxmlformats.org/spreadsheetml/2006/main" count="3189" uniqueCount="263">
  <si>
    <t>Journée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</si>
  <si>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</si>
  <si>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</si>
  <si>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</si>
  <si>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</si>
  <si>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</si>
  <si>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</si>
  <si>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</si>
  <si>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</si>
  <si>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</t>
  </si>
  <si>
    <t>Shots on target</t>
  </si>
  <si>
    <t>% Shots on target</t>
  </si>
  <si>
    <t>Passes</t>
  </si>
  <si>
    <t>Passes accurate</t>
  </si>
  <si>
    <t>% Passes accurate</t>
  </si>
  <si>
    <t>% Possession</t>
  </si>
  <si>
    <t>Losses</t>
  </si>
  <si>
    <t xml:space="preserve">Losses Low </t>
  </si>
  <si>
    <t>Losses Medium</t>
  </si>
  <si>
    <t>Losses High</t>
  </si>
  <si>
    <t>Recoveries</t>
  </si>
  <si>
    <t>Recoveries Low</t>
  </si>
  <si>
    <t>Recoveries Medium</t>
  </si>
  <si>
    <t>Recoveries High</t>
  </si>
  <si>
    <t>Duels</t>
  </si>
  <si>
    <t>Duels won</t>
  </si>
  <si>
    <t>% Duels won</t>
  </si>
  <si>
    <t>Thionville Lusitanos</t>
  </si>
  <si>
    <t>Opponents</t>
  </si>
  <si>
    <t>J25</t>
  </si>
  <si>
    <t>2026-05-02</t>
  </si>
  <si>
    <t>Thionville Lusitanos - Feignies-Aulnoye 1:0</t>
  </si>
  <si>
    <t>France. National 2</t>
  </si>
  <si>
    <t>3-4-1-2 (100.0%)</t>
  </si>
  <si>
    <t>Feignies-Aulnoye</t>
  </si>
  <si>
    <t>4-2-3-1 (66.9%)</t>
  </si>
  <si>
    <t>J24</t>
  </si>
  <si>
    <t>2026-04-25</t>
  </si>
  <si>
    <t>Dieppe - Thionville Lusitanos 2:3</t>
  </si>
  <si>
    <t>3-5-2 (100.0%)</t>
  </si>
  <si>
    <t>Dieppe</t>
  </si>
  <si>
    <t>4-4-2 (100.0%)</t>
  </si>
  <si>
    <t>J23</t>
  </si>
  <si>
    <t>2026-04-18</t>
  </si>
  <si>
    <t>Thionville Lusitanos - Beauvais AS 1:1</t>
  </si>
  <si>
    <t>Beauvais AS</t>
  </si>
  <si>
    <t>J22</t>
  </si>
  <si>
    <t>2026-04-11</t>
  </si>
  <si>
    <t>Furiani Agliani - Thionville Lusitanos 2:4</t>
  </si>
  <si>
    <t>3-4-1-2 (87.44%)</t>
  </si>
  <si>
    <t>Furiani Agliani</t>
  </si>
  <si>
    <t>3-4-3 (100.0%)</t>
  </si>
  <si>
    <t>J21</t>
  </si>
  <si>
    <t>2026-04-04</t>
  </si>
  <si>
    <t>Thionville Lusitanos - Épinal 2:2</t>
  </si>
  <si>
    <t>5-4-1 (100.0%)</t>
  </si>
  <si>
    <t>Épinal</t>
  </si>
  <si>
    <t>4-2-3-1 (72.37%)</t>
  </si>
  <si>
    <t>J20</t>
  </si>
  <si>
    <t>2026-03-29</t>
  </si>
  <si>
    <t>St-Pryvé St-Hilaire - Thionville Lusitanos 1:2</t>
  </si>
  <si>
    <t>5-3-2 (100.0%)</t>
  </si>
  <si>
    <t>St-Pryvé St-Hilaire</t>
  </si>
  <si>
    <t>4-4-2 (56.63%)</t>
  </si>
  <si>
    <t>J14</t>
  </si>
  <si>
    <t>2026-03-21</t>
  </si>
  <si>
    <t>Bourges Foot 18 - Thionville Lusitanos 0:0</t>
  </si>
  <si>
    <t>Bourges Foot 18</t>
  </si>
  <si>
    <t>4-4-2 (59.16%)</t>
  </si>
  <si>
    <t>J17</t>
  </si>
  <si>
    <t>2026-03-14</t>
  </si>
  <si>
    <t>Thionville Lusitanos - Haguenau 1:3</t>
  </si>
  <si>
    <t>Haguenau</t>
  </si>
  <si>
    <t>J16</t>
  </si>
  <si>
    <t>2026-03-07</t>
  </si>
  <si>
    <t>Wasquehal - Thionville Lusitanos 0:2</t>
  </si>
  <si>
    <t>Wasquehal</t>
  </si>
  <si>
    <t>J28</t>
  </si>
  <si>
    <t>2026-02-28</t>
  </si>
  <si>
    <t>Thionville Lusitanos - Bourges Foot 18 1:4</t>
  </si>
  <si>
    <t>J27</t>
  </si>
  <si>
    <t>2026-02-07</t>
  </si>
  <si>
    <t>Thionville Lusitanos - Chantilly 3:1</t>
  </si>
  <si>
    <t>3-4-2-1 (100.0%)</t>
  </si>
  <si>
    <t>Chantilly</t>
  </si>
  <si>
    <t>3-4-2-1 (63.13%)</t>
  </si>
  <si>
    <t>J26</t>
  </si>
  <si>
    <t>2026-01-24</t>
  </si>
  <si>
    <t>Stadium Racing Colmar - Thionville Lusitanos 0:0</t>
  </si>
  <si>
    <t>Stadium Racing Colmar</t>
  </si>
  <si>
    <t>J29</t>
  </si>
  <si>
    <t>2026-05-16</t>
  </si>
  <si>
    <t>Thionville Lusitanos - Chambly-Oise 0:4</t>
  </si>
  <si>
    <t>3-4-1-2 (71.1%)</t>
  </si>
  <si>
    <t>Chambly-Oise</t>
  </si>
  <si>
    <t>4-2-3-1 (100.0%)</t>
  </si>
  <si>
    <t>J30</t>
  </si>
  <si>
    <t>2026-05-09</t>
  </si>
  <si>
    <t>Bastia-Borgo - Thionville Lusitanos 3:0</t>
  </si>
  <si>
    <t>3-5-2 (49.49%)</t>
  </si>
  <si>
    <t>Bastia-Borgo</t>
  </si>
  <si>
    <t>4-1-4-1 (100.0%)</t>
  </si>
  <si>
    <t>Adversaires</t>
  </si>
  <si>
    <t>J4</t>
  </si>
  <si>
    <t>2026-08-29</t>
  </si>
  <si>
    <t>Thionville Lusitanos - Paris 13 Atletico 1:1</t>
  </si>
  <si>
    <t>France. Ligue 3</t>
  </si>
  <si>
    <t>3-4-1-2 (100%)</t>
  </si>
  <si>
    <t>Paris 13 Atletico</t>
  </si>
  <si>
    <t>3-4-3 (100%)</t>
  </si>
  <si>
    <t>J3</t>
  </si>
  <si>
    <t>2026-08-20</t>
  </si>
  <si>
    <t>Bourg-en-Bresse - Thionville Lusitanos 0:2</t>
  </si>
  <si>
    <t>3-4-1-2 (70.29%)</t>
  </si>
  <si>
    <t>Bourg-en-Bresse</t>
  </si>
  <si>
    <t>4-2-3-1 (70.34%)</t>
  </si>
  <si>
    <t>J2</t>
  </si>
  <si>
    <t>2026-08-14</t>
  </si>
  <si>
    <t>Thionville Lusitanos - Caen 4:3</t>
  </si>
  <si>
    <t>Caen</t>
  </si>
  <si>
    <t>4-2-3-1 (81.07%)</t>
  </si>
  <si>
    <t>J1</t>
  </si>
  <si>
    <t>2026-08-07</t>
  </si>
  <si>
    <t>Aubagne - Thionville Lusitanos 0:3</t>
  </si>
  <si>
    <t>4-4-2 (6.55%)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</si>
  <si>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</si>
  <si>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</si>
  <si>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</si>
  <si>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</si>
  <si>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</si>
  <si>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</si>
  <si>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</si>
  <si>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</si>
  <si>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</si>
  <si>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</si>
  <si>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</si>
  <si>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</si>
  <si>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</si>
  <si>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</si>
  <si>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</si>
  <si>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</si>
  <si>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</si>
  <si>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</si>
  <si>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</si>
  <si>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</si>
  <si>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</si>
  <si>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Offsides</t>
  </si>
  <si>
    <t>Aubagne</t>
  </si>
  <si>
    <t>Conceded goals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</si>
  <si>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</si>
  <si>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</si>
  <si>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</si>
  <si>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</si>
  <si>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</si>
  <si>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</si>
  <si>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</si>
  <si>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</si>
  <si>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</si>
  <si>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</si>
  <si>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</si>
  <si>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</si>
  <si>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Interceptions</t>
  </si>
  <si>
    <t>Clearances</t>
  </si>
  <si>
    <t>Fouls</t>
  </si>
  <si>
    <t>Yellow cards</t>
  </si>
  <si>
    <t>Red cards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</si>
  <si>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</si>
  <si>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</si>
  <si>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</si>
  <si>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</si>
  <si>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</si>
  <si>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</si>
  <si>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</si>
  <si>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</si>
  <si>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</si>
  <si>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</si>
  <si>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</si>
  <si>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</si>
  <si>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</si>
  <si>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</si>
  <si>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</si>
  <si>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</si>
  <si>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</si>
  <si>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</si>
  <si>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</si>
  <si>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</si>
  <si>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</si>
  <si>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</si>
  <si>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</si>
  <si>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</si>
  <si>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Goal kicks</t>
  </si>
  <si>
    <t>Match tempo</t>
  </si>
  <si>
    <t>Average passes per possession</t>
  </si>
  <si>
    <t>Long pass %</t>
  </si>
  <si>
    <t>PPDA</t>
  </si>
  <si>
    <t>Average shot distance</t>
  </si>
  <si>
    <t>Average pass length</t>
  </si>
  <si>
    <t>Position</t>
  </si>
  <si>
    <t>Minutes played</t>
  </si>
  <si>
    <t>Total actions / successful</t>
  </si>
  <si>
    <t>Assists</t>
  </si>
  <si>
    <t>Shots / on target</t>
  </si>
  <si>
    <t>Passes / accurate</t>
  </si>
  <si>
    <t>Long passes / accurate</t>
  </si>
  <si>
    <t>Crosses / accurate</t>
  </si>
  <si>
    <t>Dribbles / successful</t>
  </si>
  <si>
    <t>Duels / won</t>
  </si>
  <si>
    <t>Aerial duels / won</t>
  </si>
  <si>
    <t>Losses / own half</t>
  </si>
  <si>
    <t>Recoveries / opp. half</t>
  </si>
  <si>
    <t>Yellow card</t>
  </si>
  <si>
    <t>Red card</t>
  </si>
  <si>
    <t>Defensive duels / won</t>
  </si>
  <si>
    <t>Loose ball duels / won</t>
  </si>
  <si>
    <t>Sliding tackles / successful</t>
  </si>
  <si>
    <t>Shot assists</t>
  </si>
  <si>
    <t>Offensive duels / won</t>
  </si>
  <si>
    <t>Touches in penalty area</t>
  </si>
  <si>
    <t>Progressive runs</t>
  </si>
  <si>
    <t>Fouls suffered</t>
  </si>
  <si>
    <t>Through passes / accurate</t>
  </si>
  <si>
    <t>xA</t>
  </si>
  <si>
    <t>Second assists</t>
  </si>
  <si>
    <t>Passes to final third / accurate</t>
  </si>
  <si>
    <t>Passes to penalty area / accurate</t>
  </si>
  <si>
    <t>Received passes</t>
  </si>
  <si>
    <t>Forward passes / accurate</t>
  </si>
  <si>
    <t>Back passes / accurate</t>
  </si>
  <si>
    <t>LCB3</t>
  </si>
  <si>
    <t>RCB3</t>
  </si>
  <si>
    <t>LCB</t>
  </si>
  <si>
    <t>CB</t>
  </si>
  <si>
    <t>CB, LCB3</t>
  </si>
  <si>
    <t>LWF</t>
  </si>
  <si>
    <t>CF</t>
  </si>
  <si>
    <t>LCMF</t>
  </si>
  <si>
    <t>LCMF3</t>
  </si>
  <si>
    <t>RCB</t>
  </si>
  <si>
    <t>CB, RCB3</t>
  </si>
  <si>
    <t>RWB</t>
  </si>
  <si>
    <t>RB5, RWB</t>
  </si>
  <si>
    <t>RB5</t>
  </si>
  <si>
    <t>RCB3, RWB</t>
  </si>
  <si>
    <t>DMF</t>
  </si>
  <si>
    <t>RCMF</t>
  </si>
  <si>
    <t>RCMF, RCMF3</t>
  </si>
  <si>
    <t>LCMF, RCMF</t>
  </si>
  <si>
    <t>RCMF3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</si>
  <si>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</si>
  <si>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</si>
  <si>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</si>
  <si>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</si>
  <si>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</si>
  <si>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</si>
  <si>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</si>
  <si>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</si>
  <si>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</si>
  <si>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</si>
  <si>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</si>
  <si>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</si>
  <si>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</si>
  <si>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</si>
  <si>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LWB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</si>
</sst>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"/>
  <sheetViews>
    <sheetView zoomScale="50" workbookViewId="0">
      <selection sqref="A1:AA1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2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ref="P3:Z3" si="2">AVERAGE(P5,P7,P9,P11,P13,P15,P17,P19,P21,P23,P25,P27,P29,P31)</f>
        <v>52.490714285714283</v>
      </c>
      <c r="Q3" s="1">
        <f t="shared" si="2"/>
        <v>129.07142857142858</v>
      </c>
      <c r="R3" s="1">
        <f t="shared" si="2"/>
        <v>21.142857142857142</v>
      </c>
      <c r="S3" s="1">
        <f t="shared" si="2"/>
        <v>51.071428571428569</v>
      </c>
      <c r="T3" s="1">
        <f t="shared" si="2"/>
        <v>56.857142857142854</v>
      </c>
      <c r="U3" s="1">
        <f t="shared" si="2"/>
        <v>96.785714285714292</v>
      </c>
      <c r="V3" s="1">
        <f t="shared" si="2"/>
        <v>44.714285714285715</v>
      </c>
      <c r="W3" s="1">
        <f t="shared" si="2"/>
        <v>41.214285714285715</v>
      </c>
      <c r="X3" s="1">
        <f t="shared" si="2"/>
        <v>10.857142857142858</v>
      </c>
      <c r="Y3" s="1">
        <f t="shared" si="2"/>
        <v>215.71428571428572</v>
      </c>
      <c r="Z3" s="1">
        <f t="shared" si="2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4" t="s">
        <v>29</v>
      </c>
      <c r="B4" s="5" t="s">
        <v>30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5"/>
      <c r="B5" s="5"/>
      <c r="C5" s="5"/>
      <c r="D5" s="5"/>
      <c r="E5" s="5"/>
      <c r="F5" t="s">
        <v>34</v>
      </c>
      <c r="G5" t="s">
        <v>35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4" t="s">
        <v>36</v>
      </c>
      <c r="B6" s="5" t="s">
        <v>37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5"/>
      <c r="B7" s="5"/>
      <c r="C7" s="5"/>
      <c r="D7" s="5"/>
      <c r="E7" s="5"/>
      <c r="F7" t="s">
        <v>40</v>
      </c>
      <c r="G7" t="s">
        <v>41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4" t="s">
        <v>42</v>
      </c>
      <c r="B8" s="5" t="s">
        <v>43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5"/>
      <c r="B9" s="5"/>
      <c r="C9" s="5"/>
      <c r="D9" s="5"/>
      <c r="E9" s="5"/>
      <c r="F9" t="s">
        <v>45</v>
      </c>
      <c r="G9" t="s">
        <v>41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4" t="s">
        <v>46</v>
      </c>
      <c r="B10" s="5" t="s">
        <v>47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4" t="s">
        <v>52</v>
      </c>
      <c r="B12" s="5" t="s">
        <v>53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4" t="s">
        <v>58</v>
      </c>
      <c r="B14" s="5" t="s">
        <v>59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4" t="s">
        <v>64</v>
      </c>
      <c r="B16" s="5" t="s">
        <v>65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4" t="s">
        <v>69</v>
      </c>
      <c r="B18" s="5" t="s">
        <v>70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4" t="s">
        <v>73</v>
      </c>
      <c r="B20" s="5" t="s">
        <v>74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4" t="s">
        <v>77</v>
      </c>
      <c r="B22" s="5" t="s">
        <v>78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4" t="s">
        <v>80</v>
      </c>
      <c r="B24" s="5" t="s">
        <v>81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4" t="s">
        <v>86</v>
      </c>
      <c r="B26" s="5" t="s">
        <v>87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E6:E7"/>
    <mergeCell ref="D12:D13"/>
    <mergeCell ref="B10:B11"/>
    <mergeCell ref="B28:B29"/>
    <mergeCell ref="B6:B7"/>
    <mergeCell ref="B24:B25"/>
    <mergeCell ref="D28:D29"/>
    <mergeCell ref="D24:D25"/>
    <mergeCell ref="D6:D7"/>
    <mergeCell ref="B14:B15"/>
    <mergeCell ref="C22:C23"/>
    <mergeCell ref="C12:C13"/>
    <mergeCell ref="E30:E31"/>
    <mergeCell ref="E14:E15"/>
    <mergeCell ref="A8:A9"/>
    <mergeCell ref="C8:C9"/>
    <mergeCell ref="D18:D19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E12:E13"/>
    <mergeCell ref="E18:E19"/>
    <mergeCell ref="D26:D27"/>
    <mergeCell ref="C28:C29"/>
    <mergeCell ref="E22:E23"/>
    <mergeCell ref="C24:C25"/>
    <mergeCell ref="E24:E25"/>
    <mergeCell ref="C14:C15"/>
    <mergeCell ref="E28:E29"/>
    <mergeCell ref="D16:D17"/>
    <mergeCell ref="A30:A31"/>
    <mergeCell ref="D22:D23"/>
    <mergeCell ref="D30:D31"/>
    <mergeCell ref="D10:D11"/>
    <mergeCell ref="B4:B5"/>
    <mergeCell ref="B22:B23"/>
    <mergeCell ref="B16:B17"/>
    <mergeCell ref="C6:C7"/>
    <mergeCell ref="B26:B27"/>
    <mergeCell ref="A26:A27"/>
    <mergeCell ref="A18:A19"/>
    <mergeCell ref="A14:A15"/>
    <mergeCell ref="A28:A29"/>
    <mergeCell ref="A12:A13"/>
    <mergeCell ref="D4:D5"/>
    <mergeCell ref="A4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2"/>
  <sheetViews>
    <sheetView tabSelected="1" zoomScale="60" workbookViewId="0">
      <selection activeCell="A12" sqref="A12"/>
    </sheetView>
  </sheetViews>
  <sheetFormatPr baseColWidth="10" defaultRowHeight="14" x14ac:dyDescent="0.15"/>
  <cols>
    <col min="3" max="3" width="14.1640625" bestFit="1" customWidth="1"/>
    <col min="4" max="4" width="37.83203125" bestFit="1" customWidth="1"/>
    <col min="7" max="7" width="17.1640625" bestFit="1" customWidth="1"/>
  </cols>
  <sheetData>
    <row r="1" spans="1:2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8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AVERAGE(H4,H6,H8)</f>
        <v>2.3333333333333335</v>
      </c>
      <c r="I2" s="1">
        <f t="shared" si="0"/>
        <v>1.9133333333333333</v>
      </c>
      <c r="J2" s="1">
        <f t="shared" si="0"/>
        <v>9.6666666666666661</v>
      </c>
      <c r="K2" s="1">
        <f t="shared" si="0"/>
        <v>5.333333333333333</v>
      </c>
      <c r="L2" s="1">
        <f>IFERROR(SUM(K4,K6,K8)/SUM(J4,J6,J8)*100,0)</f>
        <v>55.172413793103445</v>
      </c>
      <c r="M2" s="1">
        <f>AVERAGE(M4,M6,M8)</f>
        <v>281</v>
      </c>
      <c r="N2" s="1">
        <f>AVERAGE(N4,N6,N8)</f>
        <v>207.66666666666666</v>
      </c>
      <c r="O2" s="1">
        <f>IFERROR(SUM(N4,N6,N8)/SUM(M4,M6,M8)*100,0)</f>
        <v>73.902728351126925</v>
      </c>
      <c r="P2" s="1">
        <f t="shared" ref="P2:Z2" si="1">AVERAGE(P4,P6,P8)</f>
        <v>35.339999999999996</v>
      </c>
      <c r="Q2" s="1">
        <f t="shared" si="1"/>
        <v>118.33333333333333</v>
      </c>
      <c r="R2" s="1">
        <f t="shared" si="1"/>
        <v>25.666666666666668</v>
      </c>
      <c r="S2" s="1">
        <f t="shared" si="1"/>
        <v>37.666666666666664</v>
      </c>
      <c r="T2" s="1">
        <f t="shared" si="1"/>
        <v>55</v>
      </c>
      <c r="U2" s="1">
        <f t="shared" si="1"/>
        <v>71.333333333333329</v>
      </c>
      <c r="V2" s="1">
        <f t="shared" si="1"/>
        <v>31.666666666666668</v>
      </c>
      <c r="W2" s="1">
        <f t="shared" si="1"/>
        <v>32.666666666666664</v>
      </c>
      <c r="X2" s="1">
        <f t="shared" si="1"/>
        <v>7</v>
      </c>
      <c r="Y2" s="1">
        <f t="shared" si="1"/>
        <v>122.33333333333333</v>
      </c>
      <c r="Z2" s="1">
        <f t="shared" si="1"/>
        <v>61.333333333333336</v>
      </c>
      <c r="AA2" s="1">
        <f>IFERROR(SUM(Z4,Z6,Z8)/SUM(Y4,Y6,Y8)*100,0)</f>
        <v>50.136239782016347</v>
      </c>
      <c r="AB2" s="1"/>
    </row>
    <row r="3" spans="1:28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1.3333333333333333</v>
      </c>
      <c r="I3" s="1">
        <f t="shared" si="0"/>
        <v>1.7366666666666666</v>
      </c>
      <c r="J3" s="1">
        <f t="shared" si="0"/>
        <v>10</v>
      </c>
      <c r="K3" s="1">
        <f t="shared" si="0"/>
        <v>4.333333333333333</v>
      </c>
      <c r="L3" s="1">
        <f>IFERROR(SUM(K5,K7,K9)/SUM(J5,J7,J9)*100,0)</f>
        <v>43.333333333333336</v>
      </c>
      <c r="M3" s="1">
        <f>AVERAGE(M5,M7,M9)</f>
        <v>459.66666666666669</v>
      </c>
      <c r="N3" s="1">
        <f>AVERAGE(N5,N7,N9)</f>
        <v>383.66666666666669</v>
      </c>
      <c r="O3" s="1">
        <f>IFERROR(SUM(N5,N7,N9)/SUM(M5,M7,M9)*100,0)</f>
        <v>83.466279912980426</v>
      </c>
      <c r="P3" s="1">
        <f t="shared" ref="P3:Z3" si="2">AVERAGE(P5,P7,P9)</f>
        <v>64.660000000000011</v>
      </c>
      <c r="Q3" s="1">
        <f t="shared" si="2"/>
        <v>121.66666666666667</v>
      </c>
      <c r="R3" s="1">
        <f t="shared" si="2"/>
        <v>23</v>
      </c>
      <c r="S3" s="1">
        <f t="shared" si="2"/>
        <v>42.333333333333336</v>
      </c>
      <c r="T3" s="1">
        <f t="shared" si="2"/>
        <v>56.333333333333336</v>
      </c>
      <c r="U3" s="1">
        <f t="shared" si="2"/>
        <v>76.333333333333329</v>
      </c>
      <c r="V3" s="1">
        <f t="shared" si="2"/>
        <v>35</v>
      </c>
      <c r="W3" s="1">
        <f t="shared" si="2"/>
        <v>27</v>
      </c>
      <c r="X3" s="1">
        <f t="shared" si="2"/>
        <v>14.333333333333334</v>
      </c>
      <c r="Y3" s="1">
        <f t="shared" si="2"/>
        <v>122.33333333333333</v>
      </c>
      <c r="Z3" s="1">
        <f t="shared" si="2"/>
        <v>60</v>
      </c>
      <c r="AA3" s="1">
        <f>IFERROR(SUM(Z5,Z7,Z9)/SUM(Y5,Y7,Y9)*100,0)</f>
        <v>49.04632152588556</v>
      </c>
      <c r="AB3" s="1"/>
    </row>
    <row r="4" spans="1:28" x14ac:dyDescent="0.15">
      <c r="A4" s="5" t="s">
        <v>103</v>
      </c>
      <c r="B4" s="5" t="s">
        <v>104</v>
      </c>
      <c r="C4" s="5" t="s">
        <v>105</v>
      </c>
      <c r="D4" s="5" t="s">
        <v>106</v>
      </c>
      <c r="E4" s="5">
        <v>96</v>
      </c>
      <c r="F4" t="s">
        <v>27</v>
      </c>
      <c r="G4" t="s">
        <v>107</v>
      </c>
      <c r="H4">
        <v>1</v>
      </c>
      <c r="I4">
        <v>1.59</v>
      </c>
      <c r="J4">
        <v>7</v>
      </c>
      <c r="K4">
        <v>3</v>
      </c>
      <c r="L4">
        <v>42.86</v>
      </c>
      <c r="M4">
        <v>439</v>
      </c>
      <c r="N4">
        <v>364</v>
      </c>
      <c r="O4">
        <v>82.91</v>
      </c>
      <c r="P4">
        <v>55</v>
      </c>
      <c r="Q4">
        <v>108</v>
      </c>
      <c r="R4">
        <v>15</v>
      </c>
      <c r="S4">
        <v>37</v>
      </c>
      <c r="T4">
        <v>56</v>
      </c>
      <c r="U4">
        <v>73</v>
      </c>
      <c r="V4">
        <v>37</v>
      </c>
      <c r="W4">
        <v>30</v>
      </c>
      <c r="X4">
        <v>6</v>
      </c>
      <c r="Y4">
        <v>113</v>
      </c>
      <c r="Z4">
        <v>58</v>
      </c>
      <c r="AA4">
        <v>51.33</v>
      </c>
    </row>
    <row r="5" spans="1:28" x14ac:dyDescent="0.15">
      <c r="A5" s="5"/>
      <c r="B5" s="5"/>
      <c r="C5" s="5"/>
      <c r="D5" s="5"/>
      <c r="E5" s="5"/>
      <c r="F5" t="s">
        <v>108</v>
      </c>
      <c r="G5" t="s">
        <v>109</v>
      </c>
      <c r="H5">
        <v>1</v>
      </c>
      <c r="I5">
        <v>1.57</v>
      </c>
      <c r="J5">
        <v>7</v>
      </c>
      <c r="K5">
        <v>3</v>
      </c>
      <c r="L5">
        <v>42.86</v>
      </c>
      <c r="M5">
        <v>323</v>
      </c>
      <c r="N5">
        <v>259</v>
      </c>
      <c r="O5">
        <v>80.19</v>
      </c>
      <c r="P5">
        <v>45</v>
      </c>
      <c r="Q5">
        <v>115</v>
      </c>
      <c r="R5">
        <v>26</v>
      </c>
      <c r="S5">
        <v>39</v>
      </c>
      <c r="T5">
        <v>50</v>
      </c>
      <c r="U5">
        <v>72</v>
      </c>
      <c r="V5">
        <v>36</v>
      </c>
      <c r="W5">
        <v>23</v>
      </c>
      <c r="X5">
        <v>13</v>
      </c>
      <c r="Y5">
        <v>113</v>
      </c>
      <c r="Z5">
        <v>55</v>
      </c>
      <c r="AA5">
        <v>48.67</v>
      </c>
    </row>
    <row r="6" spans="1:28" x14ac:dyDescent="0.15">
      <c r="A6" s="6" t="s">
        <v>110</v>
      </c>
      <c r="B6" s="5" t="s">
        <v>111</v>
      </c>
      <c r="C6" s="5" t="s">
        <v>112</v>
      </c>
      <c r="D6" s="5" t="s">
        <v>106</v>
      </c>
      <c r="E6" s="5">
        <v>99</v>
      </c>
      <c r="F6" t="s">
        <v>27</v>
      </c>
      <c r="G6" t="s">
        <v>113</v>
      </c>
      <c r="H6">
        <v>2</v>
      </c>
      <c r="I6">
        <v>2.21</v>
      </c>
      <c r="J6">
        <v>9</v>
      </c>
      <c r="K6">
        <v>5</v>
      </c>
      <c r="L6">
        <v>55.56</v>
      </c>
      <c r="M6">
        <v>225</v>
      </c>
      <c r="N6">
        <v>145</v>
      </c>
      <c r="O6">
        <v>64.44</v>
      </c>
      <c r="P6">
        <v>24.75</v>
      </c>
      <c r="Q6">
        <v>142</v>
      </c>
      <c r="R6">
        <v>35</v>
      </c>
      <c r="S6">
        <v>46</v>
      </c>
      <c r="T6">
        <v>61</v>
      </c>
      <c r="U6">
        <v>86</v>
      </c>
      <c r="V6">
        <v>35</v>
      </c>
      <c r="W6">
        <v>40</v>
      </c>
      <c r="X6">
        <v>11</v>
      </c>
      <c r="Y6">
        <v>143</v>
      </c>
      <c r="Z6">
        <v>73</v>
      </c>
      <c r="AA6">
        <v>51.05</v>
      </c>
    </row>
    <row r="7" spans="1:28" x14ac:dyDescent="0.15">
      <c r="A7" s="5"/>
      <c r="B7" s="5"/>
      <c r="C7" s="5"/>
      <c r="D7" s="5"/>
      <c r="E7" s="5"/>
      <c r="F7" t="s">
        <v>114</v>
      </c>
      <c r="G7" t="s">
        <v>115</v>
      </c>
      <c r="H7">
        <v>0</v>
      </c>
      <c r="I7">
        <v>0.85</v>
      </c>
      <c r="J7">
        <v>7</v>
      </c>
      <c r="K7">
        <v>3</v>
      </c>
      <c r="L7">
        <v>42.86</v>
      </c>
      <c r="M7">
        <v>566</v>
      </c>
      <c r="N7">
        <v>466</v>
      </c>
      <c r="O7">
        <v>82.33</v>
      </c>
      <c r="P7">
        <v>75.25</v>
      </c>
      <c r="Q7">
        <v>147</v>
      </c>
      <c r="R7">
        <v>23</v>
      </c>
      <c r="S7">
        <v>53</v>
      </c>
      <c r="T7">
        <v>71</v>
      </c>
      <c r="U7">
        <v>94</v>
      </c>
      <c r="V7">
        <v>40</v>
      </c>
      <c r="W7">
        <v>38</v>
      </c>
      <c r="X7">
        <v>16</v>
      </c>
      <c r="Y7">
        <v>143</v>
      </c>
      <c r="Z7">
        <v>68</v>
      </c>
      <c r="AA7">
        <v>47.55</v>
      </c>
    </row>
    <row r="8" spans="1:28" x14ac:dyDescent="0.15">
      <c r="A8" s="6" t="s">
        <v>116</v>
      </c>
      <c r="B8" s="5" t="s">
        <v>117</v>
      </c>
      <c r="C8" s="5" t="s">
        <v>118</v>
      </c>
      <c r="D8" s="5" t="s">
        <v>106</v>
      </c>
      <c r="E8" s="5">
        <v>106</v>
      </c>
      <c r="F8" t="s">
        <v>27</v>
      </c>
      <c r="G8" t="s">
        <v>39</v>
      </c>
      <c r="H8">
        <v>4</v>
      </c>
      <c r="I8">
        <v>1.94</v>
      </c>
      <c r="J8">
        <v>13</v>
      </c>
      <c r="K8">
        <v>8</v>
      </c>
      <c r="L8">
        <v>61.54</v>
      </c>
      <c r="M8">
        <v>179</v>
      </c>
      <c r="N8">
        <v>114</v>
      </c>
      <c r="O8">
        <v>63.69</v>
      </c>
      <c r="P8">
        <v>26.27</v>
      </c>
      <c r="Q8">
        <v>105</v>
      </c>
      <c r="R8">
        <v>27</v>
      </c>
      <c r="S8">
        <v>30</v>
      </c>
      <c r="T8">
        <v>48</v>
      </c>
      <c r="U8">
        <v>55</v>
      </c>
      <c r="V8">
        <v>23</v>
      </c>
      <c r="W8">
        <v>28</v>
      </c>
      <c r="X8">
        <v>4</v>
      </c>
      <c r="Y8">
        <v>111</v>
      </c>
      <c r="Z8">
        <v>53</v>
      </c>
      <c r="AA8">
        <v>47.75</v>
      </c>
    </row>
    <row r="9" spans="1:28" x14ac:dyDescent="0.15">
      <c r="A9" s="5"/>
      <c r="B9" s="5"/>
      <c r="C9" s="5"/>
      <c r="D9" s="5"/>
      <c r="E9" s="5"/>
      <c r="F9" t="s">
        <v>119</v>
      </c>
      <c r="G9" t="s">
        <v>120</v>
      </c>
      <c r="H9">
        <v>3</v>
      </c>
      <c r="I9">
        <v>2.79</v>
      </c>
      <c r="J9">
        <v>16</v>
      </c>
      <c r="K9">
        <v>7</v>
      </c>
      <c r="L9">
        <v>43.75</v>
      </c>
      <c r="M9">
        <v>490</v>
      </c>
      <c r="N9">
        <v>426</v>
      </c>
      <c r="O9">
        <v>86.94</v>
      </c>
      <c r="P9">
        <v>73.73</v>
      </c>
      <c r="Q9">
        <v>103</v>
      </c>
      <c r="R9">
        <v>20</v>
      </c>
      <c r="S9">
        <v>35</v>
      </c>
      <c r="T9">
        <v>48</v>
      </c>
      <c r="U9">
        <v>63</v>
      </c>
      <c r="V9">
        <v>29</v>
      </c>
      <c r="W9">
        <v>20</v>
      </c>
      <c r="X9">
        <v>14</v>
      </c>
      <c r="Y9">
        <v>111</v>
      </c>
      <c r="Z9">
        <v>57</v>
      </c>
      <c r="AA9">
        <v>51.35</v>
      </c>
    </row>
    <row r="10" spans="1:28" x14ac:dyDescent="0.15">
      <c r="A10" s="6" t="s">
        <v>121</v>
      </c>
      <c r="B10" s="5" t="s">
        <v>122</v>
      </c>
      <c r="C10" s="5" t="s">
        <v>123</v>
      </c>
      <c r="D10" s="5" t="s">
        <v>106</v>
      </c>
      <c r="E10" s="5">
        <v>101</v>
      </c>
      <c r="F10" s="5" t="s">
        <v>27</v>
      </c>
      <c r="G10" t="s">
        <v>39</v>
      </c>
      <c r="H10">
        <v>3</v>
      </c>
      <c r="I10">
        <v>1.02</v>
      </c>
      <c r="J10">
        <v>14</v>
      </c>
      <c r="K10">
        <v>7</v>
      </c>
      <c r="L10">
        <v>50</v>
      </c>
      <c r="M10">
        <v>480</v>
      </c>
      <c r="N10">
        <v>391</v>
      </c>
      <c r="O10">
        <v>81.459999999999994</v>
      </c>
      <c r="P10">
        <v>54.54</v>
      </c>
      <c r="Q10">
        <v>124</v>
      </c>
      <c r="R10">
        <v>19</v>
      </c>
      <c r="S10">
        <v>39</v>
      </c>
      <c r="T10">
        <v>66</v>
      </c>
      <c r="U10">
        <v>73</v>
      </c>
      <c r="V10">
        <v>24</v>
      </c>
      <c r="W10">
        <v>36</v>
      </c>
      <c r="X10">
        <v>13</v>
      </c>
      <c r="Y10">
        <v>130</v>
      </c>
      <c r="Z10">
        <v>67</v>
      </c>
      <c r="AA10">
        <v>51.54</v>
      </c>
    </row>
    <row r="11" spans="1:28" x14ac:dyDescent="0.15">
      <c r="A11" s="5"/>
      <c r="B11" s="5"/>
      <c r="C11" s="5"/>
      <c r="D11" s="5"/>
      <c r="E11" s="5"/>
      <c r="F11" s="5"/>
      <c r="G11" t="s">
        <v>124</v>
      </c>
      <c r="H11">
        <v>0</v>
      </c>
      <c r="I11">
        <v>0.04</v>
      </c>
      <c r="J11">
        <v>4</v>
      </c>
      <c r="K11">
        <v>2</v>
      </c>
      <c r="L11">
        <v>50</v>
      </c>
      <c r="M11">
        <v>314</v>
      </c>
      <c r="N11">
        <v>222</v>
      </c>
      <c r="O11">
        <v>70.7</v>
      </c>
      <c r="P11">
        <v>45.46</v>
      </c>
      <c r="Q11">
        <v>127</v>
      </c>
      <c r="R11">
        <v>32</v>
      </c>
      <c r="S11">
        <v>48</v>
      </c>
      <c r="T11">
        <v>47</v>
      </c>
      <c r="U11">
        <v>76</v>
      </c>
      <c r="V11">
        <v>44</v>
      </c>
      <c r="W11">
        <v>25</v>
      </c>
      <c r="X11">
        <v>7</v>
      </c>
      <c r="Y11">
        <v>130</v>
      </c>
      <c r="Z11">
        <v>63</v>
      </c>
      <c r="AA11">
        <v>48.46</v>
      </c>
    </row>
    <row r="12" spans="1:28" x14ac:dyDescent="0.15">
      <c r="B12" s="4"/>
      <c r="C12" s="5"/>
      <c r="D12" s="5"/>
      <c r="E12" s="5"/>
      <c r="F12" s="5"/>
    </row>
    <row r="13" spans="1:28" x14ac:dyDescent="0.15">
      <c r="B13" s="5"/>
      <c r="C13" s="5"/>
      <c r="D13" s="5"/>
      <c r="E13" s="5"/>
      <c r="F13" s="5"/>
    </row>
    <row r="14" spans="1:28" x14ac:dyDescent="0.15">
      <c r="B14" s="4"/>
      <c r="C14" s="5"/>
      <c r="D14" s="5"/>
      <c r="E14" s="5"/>
      <c r="F14" s="5"/>
    </row>
    <row r="15" spans="1:28" x14ac:dyDescent="0.15">
      <c r="B15" s="5"/>
      <c r="C15" s="5"/>
      <c r="D15" s="5"/>
      <c r="E15" s="5"/>
      <c r="F15" s="5"/>
    </row>
    <row r="16" spans="1:28" x14ac:dyDescent="0.15">
      <c r="B16" s="4"/>
      <c r="C16" s="5"/>
      <c r="D16" s="5"/>
      <c r="E16" s="5"/>
      <c r="F16" s="5"/>
    </row>
    <row r="17" spans="2:6" x14ac:dyDescent="0.15">
      <c r="B17" s="5"/>
      <c r="C17" s="5"/>
      <c r="D17" s="5"/>
      <c r="E17" s="5"/>
      <c r="F17" s="5"/>
    </row>
    <row r="18" spans="2:6" x14ac:dyDescent="0.15">
      <c r="B18" s="4"/>
      <c r="C18" s="5"/>
      <c r="D18" s="5"/>
      <c r="E18" s="5"/>
      <c r="F18" s="5"/>
    </row>
    <row r="19" spans="2:6" x14ac:dyDescent="0.15">
      <c r="B19" s="5"/>
      <c r="C19" s="5"/>
      <c r="D19" s="5"/>
      <c r="E19" s="5"/>
      <c r="F19" s="5"/>
    </row>
    <row r="20" spans="2:6" x14ac:dyDescent="0.15">
      <c r="B20" s="4"/>
      <c r="C20" s="5"/>
      <c r="D20" s="5"/>
      <c r="E20" s="5"/>
      <c r="F20" s="5"/>
    </row>
    <row r="21" spans="2:6" x14ac:dyDescent="0.15">
      <c r="B21" s="5"/>
      <c r="C21" s="5"/>
      <c r="D21" s="5"/>
      <c r="E21" s="5"/>
      <c r="F21" s="5"/>
    </row>
    <row r="22" spans="2:6" x14ac:dyDescent="0.15">
      <c r="B22" s="4"/>
      <c r="C22" s="5"/>
      <c r="D22" s="5"/>
      <c r="E22" s="5"/>
      <c r="F22" s="5"/>
    </row>
    <row r="23" spans="2:6" x14ac:dyDescent="0.15">
      <c r="B23" s="5"/>
      <c r="C23" s="5"/>
      <c r="D23" s="5"/>
      <c r="E23" s="5"/>
      <c r="F23" s="5"/>
    </row>
    <row r="24" spans="2:6" x14ac:dyDescent="0.15">
      <c r="B24" s="4"/>
      <c r="C24" s="5"/>
      <c r="D24" s="5"/>
      <c r="E24" s="5"/>
      <c r="F24" s="5"/>
    </row>
    <row r="25" spans="2:6" x14ac:dyDescent="0.15">
      <c r="B25" s="5"/>
      <c r="C25" s="5"/>
      <c r="D25" s="5"/>
      <c r="E25" s="5"/>
      <c r="F25" s="5"/>
    </row>
    <row r="26" spans="2:6" x14ac:dyDescent="0.15">
      <c r="B26" s="4"/>
      <c r="C26" s="5"/>
      <c r="D26" s="5"/>
      <c r="E26" s="5"/>
      <c r="F26" s="5"/>
    </row>
    <row r="27" spans="2:6" x14ac:dyDescent="0.15">
      <c r="B27" s="5"/>
      <c r="C27" s="5"/>
      <c r="D27" s="5"/>
      <c r="E27" s="5"/>
      <c r="F27" s="5"/>
    </row>
    <row r="28" spans="2:6" x14ac:dyDescent="0.15">
      <c r="B28" s="4"/>
      <c r="C28" s="5"/>
      <c r="D28" s="5"/>
      <c r="E28" s="5"/>
      <c r="F28" s="5"/>
    </row>
    <row r="29" spans="2:6" x14ac:dyDescent="0.15">
      <c r="B29" s="5"/>
      <c r="C29" s="5"/>
      <c r="D29" s="5"/>
      <c r="E29" s="5"/>
      <c r="F29" s="5"/>
    </row>
    <row r="30" spans="2:6" x14ac:dyDescent="0.15">
      <c r="B30" s="4"/>
      <c r="C30" s="5"/>
      <c r="D30" s="5"/>
      <c r="E30" s="5"/>
      <c r="F30" s="5"/>
    </row>
    <row r="31" spans="2:6" x14ac:dyDescent="0.15">
      <c r="B31" s="5"/>
      <c r="C31" s="5"/>
      <c r="D31" s="5"/>
      <c r="E31" s="5"/>
      <c r="F31" s="5"/>
    </row>
    <row r="32" spans="2:6" x14ac:dyDescent="0.15">
      <c r="B32" s="2"/>
    </row>
  </sheetData>
  <mergeCells count="71">
    <mergeCell ref="F10:F11"/>
    <mergeCell ref="C30:C31"/>
    <mergeCell ref="E8:E9"/>
    <mergeCell ref="C4:C5"/>
    <mergeCell ref="B18:B19"/>
    <mergeCell ref="C20:C21"/>
    <mergeCell ref="E4:E5"/>
    <mergeCell ref="B12:B13"/>
    <mergeCell ref="E20:E21"/>
    <mergeCell ref="D4:D5"/>
    <mergeCell ref="B24:B25"/>
    <mergeCell ref="D28:D29"/>
    <mergeCell ref="D24:D25"/>
    <mergeCell ref="E30:E31"/>
    <mergeCell ref="B30:B31"/>
    <mergeCell ref="D30:D31"/>
    <mergeCell ref="E6:E7"/>
    <mergeCell ref="D12:D13"/>
    <mergeCell ref="B28:B29"/>
    <mergeCell ref="B10:B11"/>
    <mergeCell ref="B6:B7"/>
    <mergeCell ref="B8:B9"/>
    <mergeCell ref="C10:C11"/>
    <mergeCell ref="C16:C17"/>
    <mergeCell ref="E10:E11"/>
    <mergeCell ref="E14:E15"/>
    <mergeCell ref="E22:E23"/>
    <mergeCell ref="F30:F31"/>
    <mergeCell ref="F18:F19"/>
    <mergeCell ref="F26:F27"/>
    <mergeCell ref="C12:C13"/>
    <mergeCell ref="F22:F23"/>
    <mergeCell ref="E28:E29"/>
    <mergeCell ref="D16:D17"/>
    <mergeCell ref="F12:F13"/>
    <mergeCell ref="F20:F21"/>
    <mergeCell ref="A8:A9"/>
    <mergeCell ref="C8:C9"/>
    <mergeCell ref="D18:D19"/>
    <mergeCell ref="D6:D7"/>
    <mergeCell ref="A4:A5"/>
    <mergeCell ref="B4:B5"/>
    <mergeCell ref="B16:B17"/>
    <mergeCell ref="C6:C7"/>
    <mergeCell ref="A6:A7"/>
    <mergeCell ref="B14:B15"/>
    <mergeCell ref="A10:A11"/>
    <mergeCell ref="F28:F29"/>
    <mergeCell ref="D8:D9"/>
    <mergeCell ref="C18:C19"/>
    <mergeCell ref="B20:B21"/>
    <mergeCell ref="E16:E17"/>
    <mergeCell ref="D20:D21"/>
    <mergeCell ref="E26:E27"/>
    <mergeCell ref="D14:D15"/>
    <mergeCell ref="F14:F15"/>
    <mergeCell ref="E24:E25"/>
    <mergeCell ref="D10:D11"/>
    <mergeCell ref="B22:B23"/>
    <mergeCell ref="E18:E19"/>
    <mergeCell ref="D26:D27"/>
    <mergeCell ref="E12:E13"/>
    <mergeCell ref="C28:C29"/>
    <mergeCell ref="C24:C25"/>
    <mergeCell ref="B26:B27"/>
    <mergeCell ref="F16:F17"/>
    <mergeCell ref="C14:C15"/>
    <mergeCell ref="F24:F25"/>
    <mergeCell ref="D22:D23"/>
    <mergeCell ref="C26:C27"/>
    <mergeCell ref="C22:C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1"/>
  <sheetViews>
    <sheetView showOutlineSymbols="0" showWhiteSpace="0" topLeftCell="S1" zoomScale="75" workbookViewId="0">
      <selection activeCell="AG1" sqref="A1:AG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  <c r="AG1" t="s">
        <v>146</v>
      </c>
    </row>
    <row r="2" spans="1:33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4" t="s">
        <v>29</v>
      </c>
      <c r="B4" s="5" t="s">
        <v>30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4" t="s">
        <v>36</v>
      </c>
      <c r="B6" s="5" t="s">
        <v>37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4" t="s">
        <v>42</v>
      </c>
      <c r="B8" s="5" t="s">
        <v>43</v>
      </c>
      <c r="C8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5"/>
      <c r="B9" s="5"/>
      <c r="C9" t="s">
        <v>44</v>
      </c>
      <c r="D9" s="5"/>
      <c r="E9" s="5"/>
      <c r="F9" t="s">
        <v>45</v>
      </c>
      <c r="G9" t="s">
        <v>41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4" t="s">
        <v>46</v>
      </c>
      <c r="B10" s="5" t="s">
        <v>47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4" t="s">
        <v>52</v>
      </c>
      <c r="B12" s="5" t="s">
        <v>53</v>
      </c>
      <c r="C12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5"/>
      <c r="B13" s="5"/>
      <c r="C13" t="s">
        <v>54</v>
      </c>
      <c r="D13" s="5"/>
      <c r="E13" s="5"/>
      <c r="F13" t="s">
        <v>56</v>
      </c>
      <c r="G13" t="s">
        <v>57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4" t="s">
        <v>58</v>
      </c>
      <c r="B14" s="5" t="s">
        <v>59</v>
      </c>
      <c r="C14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5"/>
      <c r="B15" s="5"/>
      <c r="C15" t="s">
        <v>60</v>
      </c>
      <c r="D15" s="5"/>
      <c r="E15" s="5"/>
      <c r="F15" t="s">
        <v>62</v>
      </c>
      <c r="G15" t="s">
        <v>63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4" t="s">
        <v>64</v>
      </c>
      <c r="B16" s="5" t="s">
        <v>65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4" t="s">
        <v>69</v>
      </c>
      <c r="B18" s="5" t="s">
        <v>70</v>
      </c>
      <c r="C18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5"/>
      <c r="B19" s="5"/>
      <c r="C19" t="s">
        <v>71</v>
      </c>
      <c r="D19" s="5"/>
      <c r="E19" s="5"/>
      <c r="F19" t="s">
        <v>72</v>
      </c>
      <c r="G19" t="s">
        <v>55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4" t="s">
        <v>73</v>
      </c>
      <c r="B20" s="5" t="s">
        <v>74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C30:C31"/>
    <mergeCell ref="A24:A25"/>
    <mergeCell ref="E8:E9"/>
    <mergeCell ref="B12:B13"/>
    <mergeCell ref="B18:B19"/>
    <mergeCell ref="C20:C21"/>
    <mergeCell ref="C26:C27"/>
    <mergeCell ref="C22:C23"/>
    <mergeCell ref="B26:B27"/>
    <mergeCell ref="E28:E29"/>
    <mergeCell ref="A26:A27"/>
    <mergeCell ref="B28:B29"/>
    <mergeCell ref="E30:E31"/>
    <mergeCell ref="E14:E15"/>
    <mergeCell ref="E26:E27"/>
    <mergeCell ref="B30:B31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D4:D5"/>
    <mergeCell ref="D16:D17"/>
    <mergeCell ref="E6:E7"/>
    <mergeCell ref="D12:D13"/>
    <mergeCell ref="B10:B11"/>
    <mergeCell ref="D28:D29"/>
    <mergeCell ref="A18:A19"/>
    <mergeCell ref="D24:D25"/>
    <mergeCell ref="A14:A15"/>
    <mergeCell ref="A8:A9"/>
    <mergeCell ref="A22:A23"/>
    <mergeCell ref="D18:D19"/>
    <mergeCell ref="D30:D31"/>
    <mergeCell ref="D10:D11"/>
    <mergeCell ref="B4:B5"/>
    <mergeCell ref="A28:A29"/>
    <mergeCell ref="D26:D27"/>
    <mergeCell ref="C28:C29"/>
    <mergeCell ref="A30:A31"/>
    <mergeCell ref="A4:A5"/>
    <mergeCell ref="D8:D9"/>
    <mergeCell ref="A20:A21"/>
    <mergeCell ref="B20:B21"/>
    <mergeCell ref="A10:A11"/>
    <mergeCell ref="D20:D21"/>
    <mergeCell ref="D14:D15"/>
    <mergeCell ref="B6:B7"/>
    <mergeCell ref="B24:B25"/>
    <mergeCell ref="E22:E23"/>
    <mergeCell ref="B22:B23"/>
    <mergeCell ref="B16:B17"/>
    <mergeCell ref="C6:C7"/>
    <mergeCell ref="C24:C25"/>
    <mergeCell ref="D6:D7"/>
    <mergeCell ref="E24:E25"/>
    <mergeCell ref="D22:D23"/>
    <mergeCell ref="E16:E17"/>
    <mergeCell ref="E12:E13"/>
    <mergeCell ref="E18:E19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showOutlineSymbols="0" showWhiteSpace="0" zoomScale="59" zoomScaleNormal="50" workbookViewId="0">
      <selection activeCell="A8" sqref="A8:A9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142</v>
      </c>
      <c r="AD1" t="s">
        <v>143</v>
      </c>
      <c r="AE1" t="s">
        <v>144</v>
      </c>
      <c r="AF1" t="s">
        <v>145</v>
      </c>
      <c r="AG1" t="s">
        <v>146</v>
      </c>
    </row>
    <row r="2" spans="1:3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AVERAGE(H4,H6,H8)</f>
        <v>1.9133333333333333</v>
      </c>
      <c r="I2" s="1">
        <f t="shared" si="0"/>
        <v>9.6666666666666661</v>
      </c>
      <c r="J2" s="1">
        <f t="shared" si="0"/>
        <v>5.333333333333333</v>
      </c>
      <c r="K2" s="1">
        <f>IFERROR(SUM(J4,J6,J8)/SUM(I4,I6,I8)*100,0)</f>
        <v>55.172413793103445</v>
      </c>
      <c r="L2" s="1">
        <f>AVERAGE(L4,L6,L8)</f>
        <v>17</v>
      </c>
      <c r="M2" s="1">
        <f>AVERAGE(M4,M6,M8)</f>
        <v>6</v>
      </c>
      <c r="N2" s="1">
        <f>IFERROR(SUM(M4,M6,M8)/SUM(L4,L6,L8)*100,0)</f>
        <v>35.294117647058826</v>
      </c>
      <c r="O2" s="1">
        <f>AVERAGE(O4,O6,O8)</f>
        <v>1.3333333333333333</v>
      </c>
      <c r="P2" s="1">
        <f>AVERAGE(P4,P6,P8)</f>
        <v>0.66666666666666663</v>
      </c>
      <c r="Q2" s="1">
        <f>IFERROR(SUM(P4,P6,P8)/SUM(O4,O6,O8)*100,0)</f>
        <v>50</v>
      </c>
      <c r="R2" s="1">
        <f>AVERAGE(R4,R6,R8)</f>
        <v>5</v>
      </c>
      <c r="S2" s="1">
        <f>AVERAGE(S4,S6,S8)</f>
        <v>1.3333333333333333</v>
      </c>
      <c r="T2" s="1">
        <f>IFERROR(SUM(S4,S6,S8)/SUM(R4,R6,R8)*100,0)</f>
        <v>26.666666666666668</v>
      </c>
      <c r="U2" s="1">
        <f>AVERAGE(U4,U6,U8)</f>
        <v>2</v>
      </c>
      <c r="V2" s="1">
        <f>AVERAGE(V4,V6,V8)</f>
        <v>0</v>
      </c>
      <c r="W2" s="1">
        <f>IFERROR(SUM(V4,V6,V8)/SUM(U4,U6,U8)*100,0)</f>
        <v>0</v>
      </c>
      <c r="X2" s="1">
        <f>AVERAGE(X4,X6,X8)</f>
        <v>0.33333333333333331</v>
      </c>
      <c r="Y2" s="1">
        <f>AVERAGE(Y4,Y6,Y8)</f>
        <v>0.33333333333333331</v>
      </c>
      <c r="Z2" s="1">
        <f>IFERROR(SUM(Y4,Y6,Y8)/SUM(X4,X6,X8)*100,0)</f>
        <v>100</v>
      </c>
      <c r="AA2" s="1">
        <f>AVERAGE(AA4,AA6,AA8)</f>
        <v>9.3333333333333339</v>
      </c>
      <c r="AB2" s="1">
        <f>AVERAGE(AB4,AB6,AB8)</f>
        <v>4</v>
      </c>
      <c r="AC2" s="1">
        <f>IFERROR(SUM(AB4,AB6,AB8)/SUM(AA4,AA6,AA8)*100,0)</f>
        <v>42.857142857142854</v>
      </c>
      <c r="AD2" s="1">
        <f>AVERAGE(AD4,AD6,AD8)</f>
        <v>28.333333333333332</v>
      </c>
      <c r="AE2" s="1">
        <f>AVERAGE(AE4,AE6,AE8)</f>
        <v>15.333333333333334</v>
      </c>
      <c r="AF2" s="1">
        <f>IFERROR(SUM(AE4,AE6,AE8)/SUM(AD4,AD6,AD8)*100,0)</f>
        <v>54.117647058823529</v>
      </c>
      <c r="AG2" s="1">
        <f>AVERAGE(AG4,AG6,AG8)</f>
        <v>2</v>
      </c>
    </row>
    <row r="3" spans="1:3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1.7366666666666666</v>
      </c>
      <c r="I3" s="1">
        <f t="shared" si="0"/>
        <v>10</v>
      </c>
      <c r="J3" s="1">
        <f t="shared" si="0"/>
        <v>4.333333333333333</v>
      </c>
      <c r="K3" s="1">
        <f>IFERROR(SUM(J5,J7,J9)/SUM(I5,I7,I9)*100,0)</f>
        <v>43.333333333333336</v>
      </c>
      <c r="L3" s="1">
        <f>AVERAGE(L5,L7,L9)</f>
        <v>33</v>
      </c>
      <c r="M3" s="1">
        <f>AVERAGE(M5,M7,M9)</f>
        <v>8</v>
      </c>
      <c r="N3" s="1">
        <f>IFERROR(SUM(M5,M7,M9)/SUM(L5,L7,L9)*100,0)</f>
        <v>24.242424242424242</v>
      </c>
      <c r="O3" s="1">
        <f>AVERAGE(O5,O7,O9)</f>
        <v>0.33333333333333331</v>
      </c>
      <c r="P3" s="1">
        <f>AVERAGE(P5,P7,P9)</f>
        <v>0</v>
      </c>
      <c r="Q3" s="1">
        <f>IFERROR(SUM(P5,P7,P9)/SUM(O5,O7,O9)*100,0)</f>
        <v>0</v>
      </c>
      <c r="R3" s="1">
        <f>AVERAGE(R5,R7,R9)</f>
        <v>4</v>
      </c>
      <c r="S3" s="1">
        <f>AVERAGE(S5,S7,S9)</f>
        <v>0</v>
      </c>
      <c r="T3" s="1">
        <f>IFERROR(SUM(S5,S7,S9)/SUM(R5,R7,R9)*100,0)</f>
        <v>0</v>
      </c>
      <c r="U3" s="1">
        <f>AVERAGE(U5,U7,U9)</f>
        <v>2.6666666666666665</v>
      </c>
      <c r="V3" s="1">
        <f>AVERAGE(V5,V7,V9)</f>
        <v>0</v>
      </c>
      <c r="W3" s="1">
        <f>IFERROR(SUM(V5,V7,V9)/SUM(U5,U7,U9)*100,0)</f>
        <v>0</v>
      </c>
      <c r="X3" s="1">
        <f>AVERAGE(X5,X7,X9)</f>
        <v>0.66666666666666663</v>
      </c>
      <c r="Y3" s="1">
        <f>AVERAGE(Y5,Y7,Y9)</f>
        <v>0.33333333333333331</v>
      </c>
      <c r="Z3" s="1">
        <f>IFERROR(SUM(Y5,Y7,Y9)/SUM(X5,X7,X9)*100,0)</f>
        <v>50</v>
      </c>
      <c r="AA3" s="1">
        <f>AVERAGE(AA5,AA7,AA9)</f>
        <v>14</v>
      </c>
      <c r="AB3" s="1">
        <f>AVERAGE(AB5,AB7,AB9)</f>
        <v>5</v>
      </c>
      <c r="AC3" s="1">
        <f>IFERROR(SUM(AB5,AB7,AB9)/SUM(AA5,AA7,AA9)*100,0)</f>
        <v>35.714285714285715</v>
      </c>
      <c r="AD3" s="1">
        <f>AVERAGE(AD5,AD7,AD9)</f>
        <v>58.666666666666664</v>
      </c>
      <c r="AE3" s="1">
        <f>AVERAGE(AE5,AE7,AE9)</f>
        <v>27</v>
      </c>
      <c r="AF3" s="1">
        <f>IFERROR(SUM(AE5,AE7,AE9)/SUM(AD5,AD7,AD9)*100,0)</f>
        <v>46.022727272727273</v>
      </c>
      <c r="AG3" s="1">
        <f>AVERAGE(AG5,AG7,AG9)</f>
        <v>2</v>
      </c>
    </row>
    <row r="4" spans="1:33" ht="12" customHeight="1" x14ac:dyDescent="0.15">
      <c r="A4" s="5" t="s">
        <v>103</v>
      </c>
      <c r="B4" s="5" t="s">
        <v>104</v>
      </c>
      <c r="C4" s="5" t="s">
        <v>105</v>
      </c>
      <c r="D4" s="5" t="s">
        <v>106</v>
      </c>
      <c r="E4" s="5">
        <v>96</v>
      </c>
      <c r="F4" t="s">
        <v>27</v>
      </c>
      <c r="G4" t="s">
        <v>107</v>
      </c>
      <c r="H4">
        <v>1.59</v>
      </c>
      <c r="I4">
        <v>7</v>
      </c>
      <c r="J4">
        <v>3</v>
      </c>
      <c r="K4">
        <v>42.86</v>
      </c>
      <c r="L4">
        <v>16</v>
      </c>
      <c r="M4">
        <v>3</v>
      </c>
      <c r="N4">
        <v>18.75</v>
      </c>
      <c r="O4">
        <v>1</v>
      </c>
      <c r="P4">
        <v>0</v>
      </c>
      <c r="Q4">
        <v>0</v>
      </c>
      <c r="R4">
        <v>8</v>
      </c>
      <c r="S4">
        <v>2</v>
      </c>
      <c r="T4">
        <v>25</v>
      </c>
      <c r="U4">
        <v>2</v>
      </c>
      <c r="V4">
        <v>0</v>
      </c>
      <c r="W4">
        <v>0</v>
      </c>
      <c r="X4">
        <v>1</v>
      </c>
      <c r="Y4">
        <v>1</v>
      </c>
      <c r="Z4">
        <v>100</v>
      </c>
      <c r="AA4">
        <v>14</v>
      </c>
      <c r="AB4">
        <v>4</v>
      </c>
      <c r="AC4">
        <v>28.57</v>
      </c>
      <c r="AD4">
        <v>33</v>
      </c>
      <c r="AE4">
        <v>20</v>
      </c>
      <c r="AF4">
        <v>60.61</v>
      </c>
      <c r="AG4">
        <v>2</v>
      </c>
    </row>
    <row r="5" spans="1:33" ht="12" customHeight="1" x14ac:dyDescent="0.15">
      <c r="A5" s="5"/>
      <c r="B5" s="5"/>
      <c r="C5" s="5"/>
      <c r="D5" s="5"/>
      <c r="E5" s="5"/>
      <c r="F5" t="s">
        <v>108</v>
      </c>
      <c r="G5" t="s">
        <v>109</v>
      </c>
      <c r="H5">
        <v>1.57</v>
      </c>
      <c r="I5">
        <v>7</v>
      </c>
      <c r="J5">
        <v>3</v>
      </c>
      <c r="K5">
        <v>42.86</v>
      </c>
      <c r="L5">
        <v>28</v>
      </c>
      <c r="M5">
        <v>6</v>
      </c>
      <c r="N5">
        <v>21.43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2</v>
      </c>
      <c r="V5">
        <v>0</v>
      </c>
      <c r="W5">
        <v>0</v>
      </c>
      <c r="X5">
        <v>1</v>
      </c>
      <c r="Y5">
        <v>1</v>
      </c>
      <c r="Z5">
        <v>100</v>
      </c>
      <c r="AA5">
        <v>9</v>
      </c>
      <c r="AB5">
        <v>3</v>
      </c>
      <c r="AC5">
        <v>33.33</v>
      </c>
      <c r="AD5">
        <v>51</v>
      </c>
      <c r="AE5">
        <v>22</v>
      </c>
      <c r="AF5">
        <v>43.14</v>
      </c>
      <c r="AG5">
        <v>0</v>
      </c>
    </row>
    <row r="6" spans="1:33" ht="12" customHeight="1" x14ac:dyDescent="0.15">
      <c r="A6" s="6" t="s">
        <v>110</v>
      </c>
      <c r="B6" s="5" t="s">
        <v>111</v>
      </c>
      <c r="C6" s="5" t="s">
        <v>112</v>
      </c>
      <c r="D6" s="5" t="s">
        <v>106</v>
      </c>
      <c r="E6" s="5">
        <v>99</v>
      </c>
      <c r="F6" t="s">
        <v>27</v>
      </c>
      <c r="G6" t="s">
        <v>113</v>
      </c>
      <c r="H6">
        <v>2.21</v>
      </c>
      <c r="I6">
        <v>9</v>
      </c>
      <c r="J6">
        <v>5</v>
      </c>
      <c r="K6">
        <v>55.56</v>
      </c>
      <c r="L6">
        <v>19</v>
      </c>
      <c r="M6">
        <v>6</v>
      </c>
      <c r="N6">
        <v>31.58</v>
      </c>
      <c r="O6">
        <v>3</v>
      </c>
      <c r="P6">
        <v>2</v>
      </c>
      <c r="Q6">
        <v>66.67</v>
      </c>
      <c r="R6">
        <v>1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6</v>
      </c>
      <c r="AB6">
        <v>4</v>
      </c>
      <c r="AC6">
        <v>66.67</v>
      </c>
      <c r="AD6">
        <v>22</v>
      </c>
      <c r="AE6">
        <v>12</v>
      </c>
      <c r="AF6">
        <v>54.55</v>
      </c>
      <c r="AG6">
        <v>1</v>
      </c>
    </row>
    <row r="7" spans="1:33" ht="12" customHeight="1" x14ac:dyDescent="0.15">
      <c r="A7" s="5"/>
      <c r="B7" s="5"/>
      <c r="C7" s="5"/>
      <c r="D7" s="5"/>
      <c r="E7" s="5"/>
      <c r="F7" t="s">
        <v>114</v>
      </c>
      <c r="G7" t="s">
        <v>115</v>
      </c>
      <c r="H7">
        <v>0.85</v>
      </c>
      <c r="I7">
        <v>7</v>
      </c>
      <c r="J7">
        <v>3</v>
      </c>
      <c r="K7">
        <v>42.86</v>
      </c>
      <c r="L7">
        <v>40</v>
      </c>
      <c r="M7">
        <v>7</v>
      </c>
      <c r="N7">
        <v>17.5</v>
      </c>
      <c r="O7">
        <v>0</v>
      </c>
      <c r="P7">
        <v>0</v>
      </c>
      <c r="Q7">
        <v>0</v>
      </c>
      <c r="R7">
        <v>7</v>
      </c>
      <c r="S7">
        <v>0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21</v>
      </c>
      <c r="AB7">
        <v>8</v>
      </c>
      <c r="AC7">
        <v>38.1</v>
      </c>
      <c r="AD7">
        <v>60</v>
      </c>
      <c r="AE7">
        <v>25</v>
      </c>
      <c r="AF7">
        <v>41.67</v>
      </c>
      <c r="AG7">
        <v>4</v>
      </c>
    </row>
    <row r="8" spans="1:33" ht="12" customHeight="1" x14ac:dyDescent="0.15">
      <c r="A8" s="6" t="s">
        <v>116</v>
      </c>
      <c r="B8" s="5" t="s">
        <v>117</v>
      </c>
      <c r="C8" s="5" t="s">
        <v>118</v>
      </c>
      <c r="D8" s="5" t="s">
        <v>106</v>
      </c>
      <c r="E8" s="5">
        <v>106</v>
      </c>
      <c r="F8" t="s">
        <v>27</v>
      </c>
      <c r="G8" t="s">
        <v>39</v>
      </c>
      <c r="H8">
        <v>1.94</v>
      </c>
      <c r="I8">
        <v>13</v>
      </c>
      <c r="J8">
        <v>8</v>
      </c>
      <c r="K8">
        <v>61.54</v>
      </c>
      <c r="L8">
        <v>16</v>
      </c>
      <c r="M8">
        <v>9</v>
      </c>
      <c r="N8">
        <v>56.25</v>
      </c>
      <c r="O8">
        <v>0</v>
      </c>
      <c r="P8">
        <v>0</v>
      </c>
      <c r="Q8">
        <v>0</v>
      </c>
      <c r="R8">
        <v>6</v>
      </c>
      <c r="S8">
        <v>2</v>
      </c>
      <c r="T8">
        <v>33.33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8</v>
      </c>
      <c r="AB8">
        <v>4</v>
      </c>
      <c r="AC8">
        <v>50</v>
      </c>
      <c r="AD8">
        <v>30</v>
      </c>
      <c r="AE8">
        <v>14</v>
      </c>
      <c r="AF8">
        <v>46.67</v>
      </c>
      <c r="AG8">
        <v>3</v>
      </c>
    </row>
    <row r="9" spans="1:33" ht="12" customHeight="1" x14ac:dyDescent="0.15">
      <c r="A9" s="5"/>
      <c r="B9" s="5"/>
      <c r="C9" s="5"/>
      <c r="D9" s="5"/>
      <c r="E9" s="5"/>
      <c r="F9" t="s">
        <v>119</v>
      </c>
      <c r="G9" t="s">
        <v>120</v>
      </c>
      <c r="H9">
        <v>2.79</v>
      </c>
      <c r="I9">
        <v>16</v>
      </c>
      <c r="J9">
        <v>7</v>
      </c>
      <c r="K9">
        <v>43.75</v>
      </c>
      <c r="L9">
        <v>31</v>
      </c>
      <c r="M9">
        <v>11</v>
      </c>
      <c r="N9">
        <v>35.479999999999997</v>
      </c>
      <c r="O9">
        <v>0</v>
      </c>
      <c r="P9">
        <v>0</v>
      </c>
      <c r="Q9">
        <v>0</v>
      </c>
      <c r="R9">
        <v>4</v>
      </c>
      <c r="S9">
        <v>0</v>
      </c>
      <c r="T9">
        <v>0</v>
      </c>
      <c r="U9">
        <v>3</v>
      </c>
      <c r="V9">
        <v>0</v>
      </c>
      <c r="W9">
        <v>0</v>
      </c>
      <c r="X9">
        <v>1</v>
      </c>
      <c r="Y9">
        <v>0</v>
      </c>
      <c r="Z9">
        <v>0</v>
      </c>
      <c r="AA9">
        <v>12</v>
      </c>
      <c r="AB9">
        <v>4</v>
      </c>
      <c r="AC9">
        <v>33.33</v>
      </c>
      <c r="AD9">
        <v>65</v>
      </c>
      <c r="AE9">
        <v>34</v>
      </c>
      <c r="AF9">
        <v>52.31</v>
      </c>
      <c r="AG9">
        <v>2</v>
      </c>
    </row>
    <row r="10" spans="1:33" ht="12" customHeight="1" x14ac:dyDescent="0.15">
      <c r="A10" s="3" t="s">
        <v>121</v>
      </c>
      <c r="B10" t="s">
        <v>122</v>
      </c>
      <c r="C10" t="s">
        <v>123</v>
      </c>
      <c r="D10" t="s">
        <v>106</v>
      </c>
      <c r="E10">
        <v>101</v>
      </c>
      <c r="F10" t="s">
        <v>27</v>
      </c>
      <c r="G10" t="s">
        <v>39</v>
      </c>
      <c r="H10">
        <v>1.02</v>
      </c>
      <c r="I10">
        <v>14</v>
      </c>
      <c r="J10">
        <v>7</v>
      </c>
      <c r="K10">
        <v>50</v>
      </c>
      <c r="L10">
        <v>33</v>
      </c>
      <c r="M10">
        <v>8</v>
      </c>
      <c r="N10">
        <v>24.24</v>
      </c>
      <c r="O10">
        <v>0</v>
      </c>
      <c r="P10">
        <v>0</v>
      </c>
      <c r="Q10">
        <v>0</v>
      </c>
      <c r="R10">
        <v>4</v>
      </c>
      <c r="S10">
        <v>2</v>
      </c>
      <c r="T10">
        <v>50</v>
      </c>
      <c r="U10">
        <v>4</v>
      </c>
      <c r="V10">
        <v>0</v>
      </c>
      <c r="W10">
        <v>0</v>
      </c>
      <c r="X10">
        <v>0</v>
      </c>
      <c r="Y10">
        <v>0</v>
      </c>
      <c r="Z10">
        <v>0</v>
      </c>
      <c r="AA10">
        <v>16</v>
      </c>
      <c r="AB10">
        <v>5</v>
      </c>
      <c r="AC10">
        <v>31.25</v>
      </c>
      <c r="AD10">
        <v>42</v>
      </c>
      <c r="AE10">
        <v>17</v>
      </c>
      <c r="AF10">
        <v>40.479999999999997</v>
      </c>
      <c r="AG10">
        <v>4</v>
      </c>
    </row>
    <row r="11" spans="1:33" ht="12" customHeight="1" x14ac:dyDescent="0.15">
      <c r="F11" t="s">
        <v>147</v>
      </c>
      <c r="G11" t="s">
        <v>124</v>
      </c>
      <c r="H11">
        <v>0.04</v>
      </c>
      <c r="I11">
        <v>4</v>
      </c>
      <c r="J11">
        <v>2</v>
      </c>
      <c r="K11">
        <v>50</v>
      </c>
      <c r="L11">
        <v>23</v>
      </c>
      <c r="M11">
        <v>3</v>
      </c>
      <c r="N11">
        <v>13.04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13</v>
      </c>
      <c r="AB11">
        <v>2</v>
      </c>
      <c r="AC11">
        <v>15.38</v>
      </c>
      <c r="AD11">
        <v>53</v>
      </c>
      <c r="AE11">
        <v>25</v>
      </c>
      <c r="AF11">
        <v>47.17</v>
      </c>
      <c r="AG11">
        <v>3</v>
      </c>
    </row>
    <row r="12" spans="1:33" ht="12" customHeight="1" x14ac:dyDescent="0.15"/>
    <row r="13" spans="1:33" ht="12" customHeight="1" x14ac:dyDescent="0.15"/>
    <row r="14" spans="1:33" ht="12" customHeight="1" x14ac:dyDescent="0.15"/>
    <row r="15" spans="1:33" ht="12" customHeight="1" x14ac:dyDescent="0.15"/>
    <row r="16" spans="1:33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</sheetData>
  <mergeCells count="15">
    <mergeCell ref="A8:A9"/>
    <mergeCell ref="E8:E9"/>
    <mergeCell ref="B4:B5"/>
    <mergeCell ref="C8:C9"/>
    <mergeCell ref="C4:C5"/>
    <mergeCell ref="A4:A5"/>
    <mergeCell ref="E4:E5"/>
    <mergeCell ref="D4:D5"/>
    <mergeCell ref="D8:D9"/>
    <mergeCell ref="B8:B9"/>
    <mergeCell ref="E6:E7"/>
    <mergeCell ref="C6:C7"/>
    <mergeCell ref="A6:A7"/>
    <mergeCell ref="D6:D7"/>
    <mergeCell ref="B6:B7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1"/>
  <sheetViews>
    <sheetView showOutlineSymbols="0" showWhiteSpace="0" zoomScale="62" workbookViewId="0">
      <selection sqref="A1:Y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25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4" t="s">
        <v>69</v>
      </c>
      <c r="B18" s="5" t="s">
        <v>81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C30:C31"/>
    <mergeCell ref="A24:A25"/>
    <mergeCell ref="E8:E9"/>
    <mergeCell ref="B12:B13"/>
    <mergeCell ref="C4:C5"/>
    <mergeCell ref="C20:C21"/>
    <mergeCell ref="B18:B19"/>
    <mergeCell ref="E4:E5"/>
    <mergeCell ref="E20:E21"/>
    <mergeCell ref="D22:D23"/>
    <mergeCell ref="B8:B9"/>
    <mergeCell ref="A16:A17"/>
    <mergeCell ref="C10:C11"/>
    <mergeCell ref="C16:C17"/>
    <mergeCell ref="A6:A7"/>
    <mergeCell ref="E10:E11"/>
    <mergeCell ref="D4:D5"/>
    <mergeCell ref="E28:E29"/>
    <mergeCell ref="C12:C13"/>
    <mergeCell ref="D16:D17"/>
    <mergeCell ref="E6:E7"/>
    <mergeCell ref="D12:D13"/>
    <mergeCell ref="E24:E25"/>
    <mergeCell ref="C26:C27"/>
    <mergeCell ref="C22:C23"/>
    <mergeCell ref="B28:B29"/>
    <mergeCell ref="B10:B11"/>
    <mergeCell ref="A18:A19"/>
    <mergeCell ref="B6:B7"/>
    <mergeCell ref="D28:D29"/>
    <mergeCell ref="B24:B25"/>
    <mergeCell ref="D24:D25"/>
    <mergeCell ref="A14:A15"/>
    <mergeCell ref="C24:C25"/>
    <mergeCell ref="B14:B15"/>
    <mergeCell ref="B26:B27"/>
    <mergeCell ref="A12:A13"/>
    <mergeCell ref="A26:A27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A28:A29"/>
    <mergeCell ref="D26:D27"/>
    <mergeCell ref="C28:C29"/>
    <mergeCell ref="E18:E19"/>
    <mergeCell ref="E22:E23"/>
    <mergeCell ref="E12:E13"/>
    <mergeCell ref="A30:A31"/>
    <mergeCell ref="E14:E15"/>
    <mergeCell ref="A4:A5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D6:D7"/>
    <mergeCell ref="C14:C15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2"/>
  <sheetViews>
    <sheetView showOutlineSymbols="0" showWhiteSpace="0" zoomScale="60" workbookViewId="0">
      <selection activeCell="D24" sqref="D24:D25"/>
    </sheetView>
  </sheetViews>
  <sheetFormatPr baseColWidth="10" defaultColWidth="8.83203125" defaultRowHeight="14" x14ac:dyDescent="0.15"/>
  <cols>
    <col min="1" max="1" width="20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>AVERAGE(H4,H6,H8,H10)</f>
        <v>330.75</v>
      </c>
      <c r="I2" s="1">
        <f>AVERAGE(I4,I6,I8,I10)</f>
        <v>253.5</v>
      </c>
      <c r="J2" s="1">
        <f>IFERROR(SUM(I4,I6,I8,I10)/SUM(H4,H6,H8,H10)*100,0)</f>
        <v>76.643990929705225</v>
      </c>
      <c r="K2" s="1">
        <f>AVERAGE(K4,K6,K8,K10)</f>
        <v>125</v>
      </c>
      <c r="L2" s="1">
        <f>AVERAGE(L4,L6,L8,L10)</f>
        <v>80.5</v>
      </c>
      <c r="M2" s="1">
        <f>IFERROR(SUM(L4,L6,L8,L10)/SUM(K4,K6,K8,K10)*100,0)</f>
        <v>64.400000000000006</v>
      </c>
      <c r="N2" s="1">
        <f>AVERAGE(N4,N6,N8,N10)</f>
        <v>44</v>
      </c>
      <c r="O2" s="1">
        <f>AVERAGE(O4,O6,O8,O10)</f>
        <v>39.25</v>
      </c>
      <c r="P2" s="1">
        <f>IFERROR(SUM(O4,O6,O8,O10)/SUM(N4,N6,N8,N10)*100,0)</f>
        <v>89.204545454545453</v>
      </c>
      <c r="Q2" s="1">
        <f>AVERAGE(Q4,Q6,Q8,Q10)</f>
        <v>110.5</v>
      </c>
      <c r="R2" s="1">
        <f>AVERAGE(R4,R6,R8,R10)</f>
        <v>94.5</v>
      </c>
      <c r="S2" s="1">
        <f>IFERROR(SUM(R4,R6,R8,R10)/SUM(Q4,Q6,Q8,Q10)*100,0)</f>
        <v>85.520361990950221</v>
      </c>
      <c r="T2" s="1">
        <f>AVERAGE(T4,T6,T8,T10)</f>
        <v>44.75</v>
      </c>
      <c r="U2" s="1">
        <f>AVERAGE(U4,U6,U8,U10)</f>
        <v>21.25</v>
      </c>
      <c r="V2" s="1">
        <f>IFERROR(SUM(U4,U6,U8,U10)/SUM(T4,T6,T8,T10)*100,0)</f>
        <v>47.486033519553075</v>
      </c>
      <c r="W2" s="1">
        <f>AVERAGE(W4,W6,W8,W10)</f>
        <v>47.5</v>
      </c>
      <c r="X2" s="1">
        <f>AVERAGE(X4,X6,X8,X10)</f>
        <v>27.25</v>
      </c>
      <c r="Y2" s="1">
        <f>IFERROR(SUM(X4,X6,X8,X10)/SUM(W4,W6,W8,W10)*100,0)</f>
        <v>57.368421052631582</v>
      </c>
      <c r="Z2" s="1">
        <f>AVERAGE(Z4,Z6,Z8,Z10)</f>
        <v>55.5</v>
      </c>
      <c r="AA2" s="1">
        <f>AVERAGE(AA4,AA6,AA8,AA10)</f>
        <v>36</v>
      </c>
      <c r="AB2" s="1">
        <f>IFERROR(SUM(AA4,AA6,AA8,AA10)/SUM(Z4,Z6,Z8,Z10)*100,0)</f>
        <v>64.86486486486487</v>
      </c>
      <c r="AC2" s="1">
        <f>AVERAGE(AC4,AC6,AC8,AC10)</f>
        <v>1</v>
      </c>
      <c r="AD2" s="1">
        <f>AVERAGE(AD4,AD6,AD8,AD10)</f>
        <v>1</v>
      </c>
      <c r="AE2" s="1">
        <f>IFERROR(SUM(AD4,AD6,AD8,AD10)/SUM(AC4,AC6,AC8,AC10)*100,0)</f>
        <v>100</v>
      </c>
      <c r="AF2" s="1">
        <f>AVERAGE(AF4,AF6,AF8,AF10)</f>
        <v>18.75</v>
      </c>
      <c r="AG2" s="1">
        <f>AVERAGE(AG4,AG6,AG8,AG10)</f>
        <v>14.5</v>
      </c>
      <c r="AH2" s="1">
        <f>IFERROR(SUM(AG4,AG6,AG8,AG10)/SUM(AF4,AF6,AF8,AF10)*100,0)</f>
        <v>77.333333333333329</v>
      </c>
      <c r="AI2" s="1">
        <f>AVERAGE(AI4,AI6,AI8,AI10)</f>
        <v>5.75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>AVERAGE(H5,H7,H9,H11)</f>
        <v>423.25</v>
      </c>
      <c r="I3" s="1">
        <f>AVERAGE(I5,I7,I9,I11)</f>
        <v>343.25</v>
      </c>
      <c r="J3" s="1">
        <f>IFERROR(SUM(I5,I7,I9,I11)/SUM(H5,H7,H9,H11)*100,0)</f>
        <v>81.098641464855277</v>
      </c>
      <c r="K3" s="1">
        <f>AVERAGE(K5,K7,K9,K11)</f>
        <v>148</v>
      </c>
      <c r="L3" s="1">
        <f>AVERAGE(L5,L7,L9,L11)</f>
        <v>104.75</v>
      </c>
      <c r="M3" s="1">
        <f>IFERROR(SUM(L5,L7,L9,L11)/SUM(K5,K7,K9,K11)*100,0)</f>
        <v>70.777027027027032</v>
      </c>
      <c r="N3" s="1">
        <f>AVERAGE(N5,N7,N9,N11)</f>
        <v>56.5</v>
      </c>
      <c r="O3" s="1">
        <f>AVERAGE(O5,O7,O9,O11)</f>
        <v>52.5</v>
      </c>
      <c r="P3" s="1">
        <f>IFERROR(SUM(O5,O7,O9,O11)/SUM(N5,N7,N9,N11)*100,0)</f>
        <v>92.920353982300881</v>
      </c>
      <c r="Q3" s="1">
        <f>AVERAGE(Q5,Q7,Q9,Q11)</f>
        <v>170.25</v>
      </c>
      <c r="R3" s="1">
        <f>AVERAGE(R5,R7,R9,R11)</f>
        <v>149.25</v>
      </c>
      <c r="S3" s="1">
        <f>IFERROR(SUM(R5,R7,R9,R11)/SUM(Q5,Q7,Q9,Q11)*100,0)</f>
        <v>87.665198237885463</v>
      </c>
      <c r="T3" s="1">
        <f>AVERAGE(T5,T7,T9,T11)</f>
        <v>38</v>
      </c>
      <c r="U3" s="1">
        <f>AVERAGE(U5,U7,U9,U11)</f>
        <v>21.5</v>
      </c>
      <c r="V3" s="1">
        <f>IFERROR(SUM(U5,U7,U9,U11)/SUM(T5,T7,T9,T11)*100,0)</f>
        <v>56.578947368421048</v>
      </c>
      <c r="W3" s="1">
        <f>AVERAGE(W5,W7,W9,W11)</f>
        <v>49.75</v>
      </c>
      <c r="X3" s="1">
        <f>AVERAGE(X5,X7,X9,X11)</f>
        <v>34.25</v>
      </c>
      <c r="Y3" s="1">
        <f>IFERROR(SUM(X5,X7,X9,X11)/SUM(W5,W7,W9,W11)*100,0)</f>
        <v>68.844221105527637</v>
      </c>
      <c r="Z3" s="1">
        <f>AVERAGE(Z5,Z7,Z9,Z11)</f>
        <v>69</v>
      </c>
      <c r="AA3" s="1">
        <f>AVERAGE(AA5,AA7,AA9,AA11)</f>
        <v>45.75</v>
      </c>
      <c r="AB3" s="1">
        <f>IFERROR(SUM(AA5,AA7,AA9,AA11)/SUM(Z5,Z7,Z9,Z11)*100,0)</f>
        <v>66.304347826086953</v>
      </c>
      <c r="AC3" s="1">
        <f>AVERAGE(AC5,AC7,AC9,AC11)</f>
        <v>0.75</v>
      </c>
      <c r="AD3" s="1">
        <f>AVERAGE(AD5,AD7,AD9,AD11)</f>
        <v>0.25</v>
      </c>
      <c r="AE3" s="1">
        <f>IFERROR(SUM(AD5,AD7,AD9,AD11)/SUM(AC5,AC7,AC9,AC11)*100,0)</f>
        <v>33.333333333333329</v>
      </c>
      <c r="AF3" s="1">
        <f>AVERAGE(AF5,AF7,AF9,AF11)</f>
        <v>24</v>
      </c>
      <c r="AG3" s="1">
        <f>AVERAGE(AG5,AG7,AG9,AG11)</f>
        <v>21.25</v>
      </c>
      <c r="AH3" s="1">
        <f>IFERROR(SUM(AG5,AG7,AG9,AG11)/SUM(AF5,AF7,AF9,AF11)*100,0)</f>
        <v>88.541666666666657</v>
      </c>
      <c r="AI3" s="1">
        <f>AVERAGE(AI5,AI7,AI9,AI11)</f>
        <v>7.5</v>
      </c>
    </row>
    <row r="4" spans="1:35" ht="12" customHeight="1" x14ac:dyDescent="0.15">
      <c r="A4" s="6" t="s">
        <v>103</v>
      </c>
      <c r="B4" s="5" t="s">
        <v>104</v>
      </c>
      <c r="C4" s="5" t="s">
        <v>105</v>
      </c>
      <c r="D4" s="5" t="s">
        <v>106</v>
      </c>
      <c r="E4" s="5">
        <v>96</v>
      </c>
      <c r="F4" t="s">
        <v>27</v>
      </c>
      <c r="G4" t="s">
        <v>33</v>
      </c>
      <c r="H4">
        <v>439</v>
      </c>
      <c r="I4">
        <v>364</v>
      </c>
      <c r="J4">
        <v>82.92</v>
      </c>
      <c r="K4">
        <v>143</v>
      </c>
      <c r="L4">
        <v>101</v>
      </c>
      <c r="M4">
        <v>70.63</v>
      </c>
      <c r="N4">
        <v>54</v>
      </c>
      <c r="O4">
        <v>49</v>
      </c>
      <c r="P4">
        <v>90.74</v>
      </c>
      <c r="Q4">
        <v>164</v>
      </c>
      <c r="R4">
        <v>148</v>
      </c>
      <c r="S4">
        <v>90.24</v>
      </c>
      <c r="T4">
        <v>46</v>
      </c>
      <c r="U4">
        <v>21</v>
      </c>
      <c r="V4">
        <v>45.65</v>
      </c>
      <c r="W4">
        <v>48</v>
      </c>
      <c r="X4">
        <v>28</v>
      </c>
      <c r="Y4">
        <v>58.33</v>
      </c>
      <c r="Z4">
        <v>50</v>
      </c>
      <c r="AA4">
        <v>36</v>
      </c>
      <c r="AB4">
        <v>72</v>
      </c>
      <c r="AC4">
        <v>0</v>
      </c>
      <c r="AD4">
        <v>0</v>
      </c>
      <c r="AE4">
        <v>0</v>
      </c>
      <c r="AF4">
        <v>18</v>
      </c>
      <c r="AG4">
        <v>16</v>
      </c>
      <c r="AH4">
        <v>88.89</v>
      </c>
      <c r="AI4">
        <v>4</v>
      </c>
    </row>
    <row r="5" spans="1:35" ht="12" customHeight="1" x14ac:dyDescent="0.15">
      <c r="A5" s="5"/>
      <c r="B5" s="5" t="s">
        <v>104</v>
      </c>
      <c r="C5" s="5" t="s">
        <v>105</v>
      </c>
      <c r="D5" s="5" t="s">
        <v>106</v>
      </c>
      <c r="E5" s="5">
        <v>96</v>
      </c>
      <c r="F5" t="s">
        <v>108</v>
      </c>
      <c r="G5" t="s">
        <v>51</v>
      </c>
      <c r="H5">
        <v>323</v>
      </c>
      <c r="I5">
        <v>259</v>
      </c>
      <c r="J5">
        <v>80.19</v>
      </c>
      <c r="K5">
        <v>116</v>
      </c>
      <c r="L5">
        <v>76</v>
      </c>
      <c r="M5">
        <v>65.52</v>
      </c>
      <c r="N5">
        <v>57</v>
      </c>
      <c r="O5">
        <v>56</v>
      </c>
      <c r="P5">
        <v>98.25</v>
      </c>
      <c r="Q5">
        <v>102</v>
      </c>
      <c r="R5">
        <v>87</v>
      </c>
      <c r="S5">
        <v>85.29</v>
      </c>
      <c r="T5">
        <v>30</v>
      </c>
      <c r="U5">
        <v>15</v>
      </c>
      <c r="V5">
        <v>50</v>
      </c>
      <c r="W5">
        <v>41</v>
      </c>
      <c r="X5">
        <v>27</v>
      </c>
      <c r="Y5">
        <v>65.849999999999994</v>
      </c>
      <c r="Z5">
        <v>44</v>
      </c>
      <c r="AA5">
        <v>30</v>
      </c>
      <c r="AB5">
        <v>68.180000000000007</v>
      </c>
      <c r="AC5">
        <v>2</v>
      </c>
      <c r="AD5">
        <v>1</v>
      </c>
      <c r="AE5">
        <v>50</v>
      </c>
      <c r="AF5">
        <v>29</v>
      </c>
      <c r="AG5">
        <v>26</v>
      </c>
      <c r="AH5">
        <v>89.66</v>
      </c>
      <c r="AI5">
        <v>9</v>
      </c>
    </row>
    <row r="6" spans="1:35" ht="12" customHeight="1" x14ac:dyDescent="0.15">
      <c r="A6" s="6" t="s">
        <v>110</v>
      </c>
      <c r="B6" s="5" t="s">
        <v>111</v>
      </c>
      <c r="C6" s="5" t="s">
        <v>112</v>
      </c>
      <c r="D6" s="5" t="s">
        <v>106</v>
      </c>
      <c r="E6" s="5">
        <v>99</v>
      </c>
      <c r="F6" t="s">
        <v>27</v>
      </c>
      <c r="G6" t="s">
        <v>113</v>
      </c>
      <c r="H6">
        <v>225</v>
      </c>
      <c r="I6">
        <v>145</v>
      </c>
      <c r="J6">
        <v>64.44</v>
      </c>
      <c r="K6">
        <v>113</v>
      </c>
      <c r="L6">
        <v>60</v>
      </c>
      <c r="M6">
        <v>53.1</v>
      </c>
      <c r="N6">
        <v>33</v>
      </c>
      <c r="O6">
        <v>28</v>
      </c>
      <c r="P6">
        <v>84.85</v>
      </c>
      <c r="Q6">
        <v>47</v>
      </c>
      <c r="R6">
        <v>34</v>
      </c>
      <c r="S6">
        <v>72.34</v>
      </c>
      <c r="T6">
        <v>50</v>
      </c>
      <c r="U6">
        <v>21</v>
      </c>
      <c r="V6">
        <v>42</v>
      </c>
      <c r="W6">
        <v>44</v>
      </c>
      <c r="X6">
        <v>17</v>
      </c>
      <c r="Y6">
        <v>38.64</v>
      </c>
      <c r="Z6">
        <v>54</v>
      </c>
      <c r="AA6">
        <v>32</v>
      </c>
      <c r="AB6">
        <v>59.26</v>
      </c>
      <c r="AC6">
        <v>1</v>
      </c>
      <c r="AD6">
        <v>1</v>
      </c>
      <c r="AE6">
        <v>100</v>
      </c>
      <c r="AF6">
        <v>16</v>
      </c>
      <c r="AG6">
        <v>13</v>
      </c>
      <c r="AH6">
        <v>81.25</v>
      </c>
      <c r="AI6">
        <v>8</v>
      </c>
    </row>
    <row r="7" spans="1:35" ht="12" customHeight="1" x14ac:dyDescent="0.15">
      <c r="A7" s="5"/>
      <c r="B7" s="5" t="s">
        <v>111</v>
      </c>
      <c r="C7" s="5" t="s">
        <v>112</v>
      </c>
      <c r="D7" s="5" t="s">
        <v>106</v>
      </c>
      <c r="E7" s="5">
        <v>99</v>
      </c>
      <c r="F7" t="s">
        <v>114</v>
      </c>
      <c r="G7" t="s">
        <v>115</v>
      </c>
      <c r="H7">
        <v>566</v>
      </c>
      <c r="I7">
        <v>466</v>
      </c>
      <c r="J7">
        <v>82.33</v>
      </c>
      <c r="K7">
        <v>190</v>
      </c>
      <c r="L7">
        <v>144</v>
      </c>
      <c r="M7">
        <v>75.790000000000006</v>
      </c>
      <c r="N7">
        <v>60</v>
      </c>
      <c r="O7">
        <v>48</v>
      </c>
      <c r="P7">
        <v>80</v>
      </c>
      <c r="Q7">
        <v>257</v>
      </c>
      <c r="R7">
        <v>231</v>
      </c>
      <c r="S7">
        <v>89.88</v>
      </c>
      <c r="T7">
        <v>52</v>
      </c>
      <c r="U7">
        <v>35</v>
      </c>
      <c r="V7">
        <v>67.31</v>
      </c>
      <c r="W7">
        <v>63</v>
      </c>
      <c r="X7">
        <v>51</v>
      </c>
      <c r="Y7">
        <v>80.95</v>
      </c>
      <c r="Z7">
        <v>104</v>
      </c>
      <c r="AA7">
        <v>73</v>
      </c>
      <c r="AB7">
        <v>70.19</v>
      </c>
      <c r="AC7">
        <v>1</v>
      </c>
      <c r="AD7">
        <v>0</v>
      </c>
      <c r="AE7">
        <v>0</v>
      </c>
      <c r="AF7">
        <v>29</v>
      </c>
      <c r="AG7">
        <v>26</v>
      </c>
      <c r="AH7">
        <v>89.66</v>
      </c>
      <c r="AI7">
        <v>4</v>
      </c>
    </row>
    <row r="8" spans="1:35" ht="12" customHeight="1" x14ac:dyDescent="0.15">
      <c r="A8" s="6" t="s">
        <v>116</v>
      </c>
      <c r="B8" s="5" t="s">
        <v>117</v>
      </c>
      <c r="C8" s="5" t="s">
        <v>118</v>
      </c>
      <c r="D8" s="5" t="s">
        <v>106</v>
      </c>
      <c r="E8" s="5">
        <v>106</v>
      </c>
      <c r="F8" t="s">
        <v>27</v>
      </c>
      <c r="G8" t="s">
        <v>39</v>
      </c>
      <c r="H8">
        <v>179</v>
      </c>
      <c r="I8">
        <v>114</v>
      </c>
      <c r="J8">
        <v>63.69</v>
      </c>
      <c r="K8">
        <v>78</v>
      </c>
      <c r="L8">
        <v>43</v>
      </c>
      <c r="M8">
        <v>55.13</v>
      </c>
      <c r="N8">
        <v>28</v>
      </c>
      <c r="O8">
        <v>24</v>
      </c>
      <c r="P8">
        <v>85.71</v>
      </c>
      <c r="Q8">
        <v>49</v>
      </c>
      <c r="R8">
        <v>36</v>
      </c>
      <c r="S8">
        <v>73.47</v>
      </c>
      <c r="T8">
        <v>34</v>
      </c>
      <c r="U8">
        <v>15</v>
      </c>
      <c r="V8">
        <v>44.12</v>
      </c>
      <c r="W8">
        <v>28</v>
      </c>
      <c r="X8">
        <v>13</v>
      </c>
      <c r="Y8">
        <v>46.43</v>
      </c>
      <c r="Z8">
        <v>40</v>
      </c>
      <c r="AA8">
        <v>20</v>
      </c>
      <c r="AB8">
        <v>50</v>
      </c>
      <c r="AC8">
        <v>2</v>
      </c>
      <c r="AD8">
        <v>2</v>
      </c>
      <c r="AE8">
        <v>100</v>
      </c>
      <c r="AF8">
        <v>17</v>
      </c>
      <c r="AG8">
        <v>10</v>
      </c>
      <c r="AH8">
        <v>58.82</v>
      </c>
      <c r="AI8">
        <v>7</v>
      </c>
    </row>
    <row r="9" spans="1:35" ht="12" customHeight="1" x14ac:dyDescent="0.15">
      <c r="A9" s="5"/>
      <c r="B9" s="5" t="s">
        <v>117</v>
      </c>
      <c r="C9" s="5" t="s">
        <v>118</v>
      </c>
      <c r="D9" s="5" t="s">
        <v>106</v>
      </c>
      <c r="E9" s="5">
        <v>106</v>
      </c>
      <c r="F9" t="s">
        <v>119</v>
      </c>
      <c r="G9" t="s">
        <v>120</v>
      </c>
      <c r="H9">
        <v>490</v>
      </c>
      <c r="I9">
        <v>426</v>
      </c>
      <c r="J9">
        <v>86.94</v>
      </c>
      <c r="K9">
        <v>164</v>
      </c>
      <c r="L9">
        <v>131</v>
      </c>
      <c r="M9">
        <v>79.88</v>
      </c>
      <c r="N9">
        <v>70</v>
      </c>
      <c r="O9">
        <v>68</v>
      </c>
      <c r="P9">
        <v>97.14</v>
      </c>
      <c r="Q9">
        <v>209</v>
      </c>
      <c r="R9">
        <v>189</v>
      </c>
      <c r="S9">
        <v>90.43</v>
      </c>
      <c r="T9">
        <v>22</v>
      </c>
      <c r="U9">
        <v>12</v>
      </c>
      <c r="V9">
        <v>54.55</v>
      </c>
      <c r="W9">
        <v>53</v>
      </c>
      <c r="X9">
        <v>36</v>
      </c>
      <c r="Y9">
        <v>67.92</v>
      </c>
      <c r="Z9">
        <v>68</v>
      </c>
      <c r="AA9">
        <v>55</v>
      </c>
      <c r="AB9">
        <v>80.88</v>
      </c>
      <c r="AC9">
        <v>0</v>
      </c>
      <c r="AD9">
        <v>0</v>
      </c>
      <c r="AE9">
        <v>0</v>
      </c>
      <c r="AF9">
        <v>18</v>
      </c>
      <c r="AG9">
        <v>17</v>
      </c>
      <c r="AH9">
        <v>94.44</v>
      </c>
      <c r="AI9">
        <v>6</v>
      </c>
    </row>
    <row r="10" spans="1:35" ht="12" customHeight="1" x14ac:dyDescent="0.15">
      <c r="A10" s="6" t="s">
        <v>121</v>
      </c>
      <c r="B10" s="5" t="s">
        <v>122</v>
      </c>
      <c r="C10" s="5" t="s">
        <v>123</v>
      </c>
      <c r="D10" s="5" t="s">
        <v>106</v>
      </c>
      <c r="E10" s="5">
        <v>101</v>
      </c>
      <c r="F10" t="s">
        <v>27</v>
      </c>
      <c r="G10" t="s">
        <v>39</v>
      </c>
      <c r="H10">
        <v>480</v>
      </c>
      <c r="I10">
        <v>391</v>
      </c>
      <c r="J10">
        <v>81.459999999999994</v>
      </c>
      <c r="K10">
        <v>166</v>
      </c>
      <c r="L10">
        <v>118</v>
      </c>
      <c r="M10">
        <v>71.08</v>
      </c>
      <c r="N10">
        <v>61</v>
      </c>
      <c r="O10">
        <v>56</v>
      </c>
      <c r="P10">
        <v>91.8</v>
      </c>
      <c r="Q10">
        <v>182</v>
      </c>
      <c r="R10">
        <v>160</v>
      </c>
      <c r="S10">
        <v>87.91</v>
      </c>
      <c r="T10">
        <v>49</v>
      </c>
      <c r="U10">
        <v>28</v>
      </c>
      <c r="V10">
        <v>57.14</v>
      </c>
      <c r="W10">
        <v>70</v>
      </c>
      <c r="X10">
        <v>51</v>
      </c>
      <c r="Y10">
        <v>72.86</v>
      </c>
      <c r="Z10">
        <v>78</v>
      </c>
      <c r="AA10">
        <v>56</v>
      </c>
      <c r="AB10">
        <v>71.790000000000006</v>
      </c>
      <c r="AC10">
        <v>1</v>
      </c>
      <c r="AD10">
        <v>1</v>
      </c>
      <c r="AE10">
        <v>100</v>
      </c>
      <c r="AF10">
        <v>24</v>
      </c>
      <c r="AG10">
        <v>19</v>
      </c>
      <c r="AH10">
        <v>79.17</v>
      </c>
      <c r="AI10">
        <v>4</v>
      </c>
    </row>
    <row r="11" spans="1:35" ht="12" customHeight="1" x14ac:dyDescent="0.15">
      <c r="A11" s="5"/>
      <c r="B11" s="5" t="s">
        <v>122</v>
      </c>
      <c r="C11" s="5" t="s">
        <v>123</v>
      </c>
      <c r="D11" s="5" t="s">
        <v>106</v>
      </c>
      <c r="E11" s="5">
        <v>101</v>
      </c>
      <c r="F11" t="s">
        <v>147</v>
      </c>
      <c r="G11" t="s">
        <v>124</v>
      </c>
      <c r="H11">
        <v>314</v>
      </c>
      <c r="I11">
        <v>222</v>
      </c>
      <c r="J11">
        <v>70.7</v>
      </c>
      <c r="K11">
        <v>122</v>
      </c>
      <c r="L11">
        <v>68</v>
      </c>
      <c r="M11">
        <v>55.74</v>
      </c>
      <c r="N11">
        <v>39</v>
      </c>
      <c r="O11">
        <v>38</v>
      </c>
      <c r="P11">
        <v>97.44</v>
      </c>
      <c r="Q11">
        <v>113</v>
      </c>
      <c r="R11">
        <v>90</v>
      </c>
      <c r="S11">
        <v>79.650000000000006</v>
      </c>
      <c r="T11">
        <v>48</v>
      </c>
      <c r="U11">
        <v>24</v>
      </c>
      <c r="V11">
        <v>50</v>
      </c>
      <c r="W11">
        <v>42</v>
      </c>
      <c r="X11">
        <v>23</v>
      </c>
      <c r="Y11">
        <v>54.76</v>
      </c>
      <c r="Z11">
        <v>60</v>
      </c>
      <c r="AA11">
        <v>25</v>
      </c>
      <c r="AB11">
        <v>41.67</v>
      </c>
      <c r="AC11">
        <v>0</v>
      </c>
      <c r="AD11">
        <v>0</v>
      </c>
      <c r="AE11">
        <v>0</v>
      </c>
      <c r="AF11">
        <v>20</v>
      </c>
      <c r="AG11">
        <v>16</v>
      </c>
      <c r="AH11">
        <v>80</v>
      </c>
      <c r="AI11">
        <v>11</v>
      </c>
    </row>
    <row r="12" spans="1:35" ht="12" customHeight="1" x14ac:dyDescent="0.15">
      <c r="A12" s="4"/>
      <c r="B12" s="5"/>
      <c r="C12" s="5"/>
      <c r="D12" s="5"/>
      <c r="E12" s="5"/>
    </row>
    <row r="13" spans="1:35" ht="12" customHeight="1" x14ac:dyDescent="0.15">
      <c r="A13" s="5"/>
      <c r="B13" s="5"/>
      <c r="C13" s="5"/>
      <c r="D13" s="5"/>
      <c r="E13" s="5"/>
    </row>
    <row r="14" spans="1:35" ht="12" customHeight="1" x14ac:dyDescent="0.15">
      <c r="A14" s="4"/>
      <c r="B14" s="5"/>
      <c r="C14" s="5"/>
      <c r="D14" s="5"/>
      <c r="E14" s="5"/>
    </row>
    <row r="15" spans="1:35" ht="12" customHeight="1" x14ac:dyDescent="0.15">
      <c r="A15" s="5"/>
      <c r="B15" s="5"/>
      <c r="C15" s="5"/>
      <c r="D15" s="5"/>
      <c r="E15" s="5"/>
    </row>
    <row r="16" spans="1:35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C18" s="5"/>
      <c r="D18" s="5"/>
      <c r="E18" s="5"/>
    </row>
    <row r="19" spans="1:5" ht="12" customHeight="1" x14ac:dyDescent="0.15">
      <c r="A19" s="5"/>
      <c r="B19" s="5"/>
      <c r="C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  <row r="32" spans="1:5" x14ac:dyDescent="0.15">
      <c r="A32" s="2"/>
    </row>
  </sheetData>
  <mergeCells count="70">
    <mergeCell ref="A6:A7"/>
    <mergeCell ref="E10:E11"/>
    <mergeCell ref="A12:A13"/>
    <mergeCell ref="A26:A27"/>
    <mergeCell ref="A18:A19"/>
    <mergeCell ref="A14:A15"/>
    <mergeCell ref="C30:C31"/>
    <mergeCell ref="A24:A25"/>
    <mergeCell ref="B12:B13"/>
    <mergeCell ref="B18:B19"/>
    <mergeCell ref="C20:C21"/>
    <mergeCell ref="A16:A17"/>
    <mergeCell ref="C16:C17"/>
    <mergeCell ref="E28:E29"/>
    <mergeCell ref="D4:D5"/>
    <mergeCell ref="C12:C13"/>
    <mergeCell ref="D16:D17"/>
    <mergeCell ref="E6:E7"/>
    <mergeCell ref="D12:D13"/>
    <mergeCell ref="E24:E25"/>
    <mergeCell ref="C26:C27"/>
    <mergeCell ref="C22:C23"/>
    <mergeCell ref="E8:E9"/>
    <mergeCell ref="C4:C5"/>
    <mergeCell ref="E4:E5"/>
    <mergeCell ref="E20:E21"/>
    <mergeCell ref="D22:D23"/>
    <mergeCell ref="C10:C11"/>
    <mergeCell ref="B28:B29"/>
    <mergeCell ref="B10:B11"/>
    <mergeCell ref="B6:B7"/>
    <mergeCell ref="B24:B25"/>
    <mergeCell ref="D28:D29"/>
    <mergeCell ref="D24:D25"/>
    <mergeCell ref="C24:C25"/>
    <mergeCell ref="B26:B27"/>
    <mergeCell ref="B14:B15"/>
    <mergeCell ref="B8:B9"/>
    <mergeCell ref="E30:E31"/>
    <mergeCell ref="A8:A9"/>
    <mergeCell ref="A22:A23"/>
    <mergeCell ref="C8:C9"/>
    <mergeCell ref="D18:D19"/>
    <mergeCell ref="E16:E17"/>
    <mergeCell ref="E26:E27"/>
    <mergeCell ref="B30:B31"/>
    <mergeCell ref="D30:D31"/>
    <mergeCell ref="A28:A29"/>
    <mergeCell ref="E18:E19"/>
    <mergeCell ref="E12:E13"/>
    <mergeCell ref="C28:C29"/>
    <mergeCell ref="D26:D27"/>
    <mergeCell ref="E22:E23"/>
    <mergeCell ref="B22:B23"/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"/>
  <sheetViews>
    <sheetView showOutlineSymbols="0" showWhiteSpace="0" zoomScale="63" workbookViewId="0">
      <selection sqref="A1:AI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 t="s">
        <v>27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28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4" t="s">
        <v>69</v>
      </c>
      <c r="B18" s="5" t="s">
        <v>81</v>
      </c>
      <c r="C18" s="5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5"/>
      <c r="B19" s="5"/>
      <c r="C19" s="5"/>
      <c r="D19" s="5"/>
      <c r="E19" s="5"/>
      <c r="F19" t="s">
        <v>72</v>
      </c>
      <c r="G19" t="s">
        <v>55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B8:B9"/>
    <mergeCell ref="A16:A17"/>
    <mergeCell ref="C10:C11"/>
    <mergeCell ref="C16:C17"/>
    <mergeCell ref="A6:A7"/>
    <mergeCell ref="E10:E11"/>
    <mergeCell ref="C26:C27"/>
    <mergeCell ref="D4:D5"/>
    <mergeCell ref="E28:E29"/>
    <mergeCell ref="D16:D17"/>
    <mergeCell ref="E6:E7"/>
    <mergeCell ref="D12:D13"/>
    <mergeCell ref="E24:E25"/>
    <mergeCell ref="B10:B11"/>
    <mergeCell ref="B28:B29"/>
    <mergeCell ref="B6:B7"/>
    <mergeCell ref="A18:A19"/>
    <mergeCell ref="D28:D29"/>
    <mergeCell ref="A14:A15"/>
    <mergeCell ref="B24:B25"/>
    <mergeCell ref="D24:D25"/>
    <mergeCell ref="C28:C29"/>
    <mergeCell ref="C24:C25"/>
    <mergeCell ref="B26:B27"/>
    <mergeCell ref="B14:B15"/>
    <mergeCell ref="C22:C23"/>
    <mergeCell ref="A12:A13"/>
    <mergeCell ref="A26:A27"/>
    <mergeCell ref="C12:C13"/>
    <mergeCell ref="E30:E31"/>
    <mergeCell ref="E14:E15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E18:E19"/>
    <mergeCell ref="E12:E13"/>
    <mergeCell ref="D26:D27"/>
    <mergeCell ref="A28:A29"/>
    <mergeCell ref="E22:E23"/>
    <mergeCell ref="A30:A31"/>
    <mergeCell ref="D22:D23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2"/>
  <sheetViews>
    <sheetView showOutlineSymbols="0" showWhiteSpace="0" zoomScale="60" workbookViewId="0">
      <selection activeCell="C22" sqref="C22:C23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AVERAGE(H4,H6,H8,H10)</f>
        <v>2.5</v>
      </c>
      <c r="I2" s="1">
        <f t="shared" si="0"/>
        <v>1.69</v>
      </c>
      <c r="J2" s="1">
        <f t="shared" si="0"/>
        <v>10.75</v>
      </c>
      <c r="K2" s="1">
        <f t="shared" si="0"/>
        <v>5.75</v>
      </c>
      <c r="L2" s="1">
        <f>IFERROR(SUM(K4,K6,K8,K10)/SUM(J4,J6,J8,J10)*100,0)</f>
        <v>53.488372093023251</v>
      </c>
      <c r="M2" s="1">
        <f>AVERAGE(M4,M6,M8,M10)</f>
        <v>330.75</v>
      </c>
      <c r="N2" s="1">
        <f>AVERAGE(N4,N6,N8,N10)</f>
        <v>253.5</v>
      </c>
      <c r="O2" s="1">
        <f>IFERROR(SUM(N4,N6,N8,N10)/SUM(M4,M6,M8,M10)*100,0)</f>
        <v>76.643990929705225</v>
      </c>
      <c r="P2" s="1">
        <f t="shared" ref="P2:Z3" si="1">AVERAGE(P4,P6,P8,P10)</f>
        <v>40.229999999999997</v>
      </c>
      <c r="Q2" s="1">
        <f t="shared" si="1"/>
        <v>119.75</v>
      </c>
      <c r="R2" s="1">
        <f t="shared" si="1"/>
        <v>24</v>
      </c>
      <c r="S2" s="1">
        <f t="shared" si="1"/>
        <v>38</v>
      </c>
      <c r="T2" s="1">
        <f t="shared" si="1"/>
        <v>57.75</v>
      </c>
      <c r="U2" s="1">
        <f t="shared" si="1"/>
        <v>71.75</v>
      </c>
      <c r="V2" s="1">
        <f t="shared" si="1"/>
        <v>29.75</v>
      </c>
      <c r="W2" s="1">
        <f t="shared" si="1"/>
        <v>33.5</v>
      </c>
      <c r="X2" s="1">
        <f t="shared" si="1"/>
        <v>8.5</v>
      </c>
      <c r="Y2" s="1">
        <f t="shared" si="1"/>
        <v>124.25</v>
      </c>
      <c r="Z2" s="1">
        <f t="shared" si="1"/>
        <v>62.75</v>
      </c>
      <c r="AA2" s="1">
        <f>IFERROR(SUM(Z4,Z6,Z8,Z10)/SUM(Y4,Y6,Y8,Y10)*100,0)</f>
        <v>50.503018108651908</v>
      </c>
      <c r="AB2" s="1">
        <f>IFERROR(SUM(AA4,AA6,AA8)/SUM(Z4,Z6,Z8)*100,0)</f>
        <v>81.592391304347828</v>
      </c>
      <c r="AC2" s="1">
        <f>AVERAGE(AC4,AC6,AC8)</f>
        <v>1.3333333333333333</v>
      </c>
      <c r="AD2" s="1">
        <f>AVERAGE(AD4,AD6,AD8)</f>
        <v>1.3333333333333333</v>
      </c>
      <c r="AE2" s="1">
        <f>IFERROR(SUM(AD4,AD6,AD8)/SUM(AC4,AC6,AC8)*100,0)</f>
        <v>100</v>
      </c>
      <c r="AF2" s="1">
        <f>AVERAGE(AF4,AF6,AF8)</f>
        <v>19</v>
      </c>
      <c r="AG2" s="1">
        <f>AVERAGE(AG4,AG6,AG8)</f>
        <v>14</v>
      </c>
      <c r="AH2" s="1">
        <f>IFERROR(SUM(AG4,AG6,AG8)/SUM(AF4,AF6,AF8)*100,0)</f>
        <v>73.68421052631578</v>
      </c>
      <c r="AI2" s="1">
        <f>AVERAGE(AI4,AI6,AI8)</f>
        <v>6.333333333333333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</v>
      </c>
      <c r="I3" s="1">
        <f t="shared" si="0"/>
        <v>1.3125</v>
      </c>
      <c r="J3" s="1">
        <f t="shared" si="0"/>
        <v>8.5</v>
      </c>
      <c r="K3" s="1">
        <f t="shared" si="0"/>
        <v>3.75</v>
      </c>
      <c r="L3" s="1">
        <f>IFERROR(SUM(K5,K7,K9,K11)/SUM(J5,J7,J9,J11)*100,0)</f>
        <v>44.117647058823529</v>
      </c>
      <c r="M3" s="1">
        <f>AVERAGE(M5,M7,M9,M11)</f>
        <v>423.25</v>
      </c>
      <c r="N3" s="1">
        <f>AVERAGE(N5,N7,N9,N11)</f>
        <v>343.25</v>
      </c>
      <c r="O3" s="1">
        <f>IFERROR(SUM(N5,N7,N9,N11)/SUM(M5,M7,M9,M11)*100,0)</f>
        <v>81.098641464855277</v>
      </c>
      <c r="P3" s="1">
        <f t="shared" si="1"/>
        <v>59.77</v>
      </c>
      <c r="Q3" s="1">
        <f t="shared" si="1"/>
        <v>123</v>
      </c>
      <c r="R3" s="1">
        <f t="shared" si="1"/>
        <v>25.25</v>
      </c>
      <c r="S3" s="1">
        <f t="shared" si="1"/>
        <v>43.75</v>
      </c>
      <c r="T3" s="1">
        <f t="shared" si="1"/>
        <v>54</v>
      </c>
      <c r="U3" s="1">
        <f t="shared" si="1"/>
        <v>76.25</v>
      </c>
      <c r="V3" s="1">
        <f t="shared" si="1"/>
        <v>37.25</v>
      </c>
      <c r="W3" s="1">
        <f t="shared" si="1"/>
        <v>26.5</v>
      </c>
      <c r="X3" s="1">
        <f t="shared" si="1"/>
        <v>12.5</v>
      </c>
      <c r="Y3" s="1">
        <f t="shared" si="1"/>
        <v>124.25</v>
      </c>
      <c r="Z3" s="1">
        <f t="shared" si="1"/>
        <v>60.75</v>
      </c>
      <c r="AA3" s="1">
        <f>IFERROR(SUM(Z5,Z7,Z9,Z11)/SUM(Y5,Y7,Y9,Y11)*100,0)</f>
        <v>48.893360160965791</v>
      </c>
      <c r="AB3" s="1">
        <f>IFERROR(SUM(AA5,AA7,AA9)/SUM(Z5,Z7,Z9)*100,0)</f>
        <v>81.983333333333334</v>
      </c>
      <c r="AC3" s="1">
        <f>AVERAGE(AC5,AC7,AC9)</f>
        <v>0.33333333333333331</v>
      </c>
      <c r="AD3" s="1">
        <f>AVERAGE(AD5,AD7,AD9)</f>
        <v>0</v>
      </c>
      <c r="AE3" s="1">
        <f>IFERROR(SUM(AD5,AD7,AD9)/SUM(AC5,AC7,AC9)*100,0)</f>
        <v>0</v>
      </c>
      <c r="AF3" s="1">
        <f>AVERAGE(AF5,AF7,AF9)</f>
        <v>22.333333333333332</v>
      </c>
      <c r="AG3" s="1">
        <f>AVERAGE(AG5,AG7,AG9)</f>
        <v>19.666666666666668</v>
      </c>
      <c r="AH3" s="1">
        <f>IFERROR(SUM(AG5,AG7,AG9)/SUM(AF5,AF7,AF9)*100,0)</f>
        <v>88.059701492537314</v>
      </c>
      <c r="AI3" s="1">
        <f>AVERAGE(AI5,AI7,AI9)</f>
        <v>7</v>
      </c>
    </row>
    <row r="4" spans="1:35" ht="12" customHeight="1" x14ac:dyDescent="0.15">
      <c r="A4" s="6" t="s">
        <v>103</v>
      </c>
      <c r="B4" s="5" t="s">
        <v>104</v>
      </c>
      <c r="C4" s="5" t="s">
        <v>105</v>
      </c>
      <c r="D4" s="5" t="s">
        <v>106</v>
      </c>
      <c r="E4" s="5">
        <v>96</v>
      </c>
      <c r="F4" t="s">
        <v>27</v>
      </c>
      <c r="G4" t="s">
        <v>33</v>
      </c>
      <c r="H4">
        <v>1</v>
      </c>
      <c r="I4">
        <v>1.59</v>
      </c>
      <c r="J4">
        <v>7</v>
      </c>
      <c r="K4">
        <v>3</v>
      </c>
      <c r="L4">
        <v>42.86</v>
      </c>
      <c r="M4">
        <v>439</v>
      </c>
      <c r="N4">
        <v>364</v>
      </c>
      <c r="O4">
        <v>82.92</v>
      </c>
      <c r="P4">
        <v>55.36</v>
      </c>
      <c r="Q4">
        <v>108</v>
      </c>
      <c r="R4">
        <v>15</v>
      </c>
      <c r="S4">
        <v>37</v>
      </c>
      <c r="T4">
        <v>56</v>
      </c>
      <c r="U4">
        <v>73</v>
      </c>
      <c r="V4">
        <v>37</v>
      </c>
      <c r="W4">
        <v>30</v>
      </c>
      <c r="X4">
        <v>6</v>
      </c>
      <c r="Y4">
        <v>113</v>
      </c>
      <c r="Z4">
        <v>58</v>
      </c>
      <c r="AA4">
        <v>51.33</v>
      </c>
      <c r="AB4">
        <v>59.26</v>
      </c>
      <c r="AC4">
        <v>1</v>
      </c>
      <c r="AD4">
        <v>1</v>
      </c>
      <c r="AE4">
        <v>100</v>
      </c>
      <c r="AF4">
        <v>16</v>
      </c>
      <c r="AG4">
        <v>13</v>
      </c>
      <c r="AH4">
        <v>81.25</v>
      </c>
      <c r="AI4">
        <v>8</v>
      </c>
    </row>
    <row r="5" spans="1:35" ht="12" customHeight="1" x14ac:dyDescent="0.15">
      <c r="A5" s="5"/>
      <c r="B5" s="5" t="s">
        <v>104</v>
      </c>
      <c r="C5" s="5" t="s">
        <v>105</v>
      </c>
      <c r="D5" s="5" t="s">
        <v>106</v>
      </c>
      <c r="E5" s="5">
        <v>96</v>
      </c>
      <c r="F5" t="s">
        <v>108</v>
      </c>
      <c r="G5" t="s">
        <v>51</v>
      </c>
      <c r="H5">
        <v>1</v>
      </c>
      <c r="I5">
        <v>1.57</v>
      </c>
      <c r="J5">
        <v>7</v>
      </c>
      <c r="K5">
        <v>3</v>
      </c>
      <c r="L5">
        <v>42.86</v>
      </c>
      <c r="M5">
        <v>323</v>
      </c>
      <c r="N5">
        <v>259</v>
      </c>
      <c r="O5">
        <v>80.19</v>
      </c>
      <c r="P5">
        <v>44.64</v>
      </c>
      <c r="Q5">
        <v>115</v>
      </c>
      <c r="R5">
        <v>26</v>
      </c>
      <c r="S5">
        <v>39</v>
      </c>
      <c r="T5">
        <v>50</v>
      </c>
      <c r="U5">
        <v>72</v>
      </c>
      <c r="V5">
        <v>36</v>
      </c>
      <c r="W5">
        <v>23</v>
      </c>
      <c r="X5">
        <v>13</v>
      </c>
      <c r="Y5">
        <v>113</v>
      </c>
      <c r="Z5">
        <v>55</v>
      </c>
      <c r="AA5">
        <v>48.67</v>
      </c>
      <c r="AB5">
        <v>70.19</v>
      </c>
      <c r="AC5">
        <v>1</v>
      </c>
      <c r="AD5">
        <v>0</v>
      </c>
      <c r="AE5">
        <v>0</v>
      </c>
      <c r="AF5">
        <v>29</v>
      </c>
      <c r="AG5">
        <v>26</v>
      </c>
      <c r="AH5">
        <v>89.66</v>
      </c>
      <c r="AI5">
        <v>4</v>
      </c>
    </row>
    <row r="6" spans="1:35" ht="12" customHeight="1" x14ac:dyDescent="0.15">
      <c r="A6" s="6" t="s">
        <v>110</v>
      </c>
      <c r="B6" s="5" t="s">
        <v>111</v>
      </c>
      <c r="C6" s="5" t="s">
        <v>112</v>
      </c>
      <c r="D6" s="5" t="s">
        <v>106</v>
      </c>
      <c r="E6" s="5">
        <v>99</v>
      </c>
      <c r="F6" t="s">
        <v>27</v>
      </c>
      <c r="G6" t="s">
        <v>113</v>
      </c>
      <c r="H6">
        <v>2</v>
      </c>
      <c r="I6">
        <v>2.21</v>
      </c>
      <c r="J6">
        <v>9</v>
      </c>
      <c r="K6">
        <v>5</v>
      </c>
      <c r="L6">
        <v>55.56</v>
      </c>
      <c r="M6">
        <v>225</v>
      </c>
      <c r="N6">
        <v>145</v>
      </c>
      <c r="O6">
        <v>64.44</v>
      </c>
      <c r="P6">
        <v>24.75</v>
      </c>
      <c r="Q6">
        <v>142</v>
      </c>
      <c r="R6">
        <v>35</v>
      </c>
      <c r="S6">
        <v>46</v>
      </c>
      <c r="T6">
        <v>61</v>
      </c>
      <c r="U6">
        <v>86</v>
      </c>
      <c r="V6">
        <v>35</v>
      </c>
      <c r="W6">
        <v>40</v>
      </c>
      <c r="X6">
        <v>11</v>
      </c>
      <c r="Y6">
        <v>143</v>
      </c>
      <c r="Z6">
        <v>73</v>
      </c>
      <c r="AA6">
        <v>51.05</v>
      </c>
      <c r="AB6">
        <v>50</v>
      </c>
      <c r="AC6">
        <v>2</v>
      </c>
      <c r="AD6">
        <v>2</v>
      </c>
      <c r="AE6">
        <v>100</v>
      </c>
      <c r="AF6">
        <v>17</v>
      </c>
      <c r="AG6">
        <v>10</v>
      </c>
      <c r="AH6">
        <v>58.82</v>
      </c>
      <c r="AI6">
        <v>7</v>
      </c>
    </row>
    <row r="7" spans="1:35" ht="12" customHeight="1" x14ac:dyDescent="0.15">
      <c r="A7" s="5"/>
      <c r="B7" s="5" t="s">
        <v>111</v>
      </c>
      <c r="C7" s="5" t="s">
        <v>112</v>
      </c>
      <c r="D7" s="5" t="s">
        <v>106</v>
      </c>
      <c r="E7" s="5">
        <v>99</v>
      </c>
      <c r="F7" t="s">
        <v>114</v>
      </c>
      <c r="G7" t="s">
        <v>115</v>
      </c>
      <c r="H7">
        <v>0</v>
      </c>
      <c r="I7">
        <v>0.85</v>
      </c>
      <c r="J7">
        <v>7</v>
      </c>
      <c r="K7">
        <v>3</v>
      </c>
      <c r="L7">
        <v>42.86</v>
      </c>
      <c r="M7">
        <v>566</v>
      </c>
      <c r="N7">
        <v>466</v>
      </c>
      <c r="O7">
        <v>82.33</v>
      </c>
      <c r="P7">
        <v>75.25</v>
      </c>
      <c r="Q7">
        <v>147</v>
      </c>
      <c r="R7">
        <v>23</v>
      </c>
      <c r="S7">
        <v>53</v>
      </c>
      <c r="T7">
        <v>71</v>
      </c>
      <c r="U7">
        <v>94</v>
      </c>
      <c r="V7">
        <v>40</v>
      </c>
      <c r="W7">
        <v>38</v>
      </c>
      <c r="X7">
        <v>16</v>
      </c>
      <c r="Y7">
        <v>143</v>
      </c>
      <c r="Z7">
        <v>68</v>
      </c>
      <c r="AA7">
        <v>47.55</v>
      </c>
      <c r="AB7">
        <v>80.88</v>
      </c>
      <c r="AC7">
        <v>0</v>
      </c>
      <c r="AD7">
        <v>0</v>
      </c>
      <c r="AE7">
        <v>0</v>
      </c>
      <c r="AF7">
        <v>18</v>
      </c>
      <c r="AG7">
        <v>17</v>
      </c>
      <c r="AH7">
        <v>94.44</v>
      </c>
      <c r="AI7">
        <v>6</v>
      </c>
    </row>
    <row r="8" spans="1:35" ht="12" customHeight="1" x14ac:dyDescent="0.15">
      <c r="A8" s="6" t="s">
        <v>116</v>
      </c>
      <c r="B8" s="5" t="s">
        <v>117</v>
      </c>
      <c r="C8" s="5" t="s">
        <v>118</v>
      </c>
      <c r="D8" s="5" t="s">
        <v>106</v>
      </c>
      <c r="E8" s="5">
        <v>106</v>
      </c>
      <c r="F8" t="s">
        <v>27</v>
      </c>
      <c r="G8" t="s">
        <v>39</v>
      </c>
      <c r="H8">
        <v>4</v>
      </c>
      <c r="I8">
        <v>1.94</v>
      </c>
      <c r="J8">
        <v>13</v>
      </c>
      <c r="K8">
        <v>8</v>
      </c>
      <c r="L8">
        <v>61.54</v>
      </c>
      <c r="M8">
        <v>179</v>
      </c>
      <c r="N8">
        <v>114</v>
      </c>
      <c r="O8">
        <v>63.69</v>
      </c>
      <c r="P8">
        <v>26.27</v>
      </c>
      <c r="Q8">
        <v>105</v>
      </c>
      <c r="R8">
        <v>27</v>
      </c>
      <c r="S8">
        <v>30</v>
      </c>
      <c r="T8">
        <v>48</v>
      </c>
      <c r="U8">
        <v>55</v>
      </c>
      <c r="V8">
        <v>23</v>
      </c>
      <c r="W8">
        <v>28</v>
      </c>
      <c r="X8">
        <v>4</v>
      </c>
      <c r="Y8">
        <v>111</v>
      </c>
      <c r="Z8">
        <v>53</v>
      </c>
      <c r="AA8">
        <v>47.75</v>
      </c>
      <c r="AB8">
        <v>71.790000000000006</v>
      </c>
      <c r="AC8">
        <v>1</v>
      </c>
      <c r="AD8">
        <v>1</v>
      </c>
      <c r="AE8">
        <v>100</v>
      </c>
      <c r="AF8">
        <v>24</v>
      </c>
      <c r="AG8">
        <v>19</v>
      </c>
      <c r="AH8">
        <v>79.17</v>
      </c>
      <c r="AI8">
        <v>4</v>
      </c>
    </row>
    <row r="9" spans="1:35" ht="12" customHeight="1" x14ac:dyDescent="0.15">
      <c r="A9" s="5"/>
      <c r="B9" s="5" t="s">
        <v>117</v>
      </c>
      <c r="C9" s="5" t="s">
        <v>118</v>
      </c>
      <c r="D9" s="5" t="s">
        <v>106</v>
      </c>
      <c r="E9" s="5">
        <v>106</v>
      </c>
      <c r="F9" t="s">
        <v>119</v>
      </c>
      <c r="G9" t="s">
        <v>120</v>
      </c>
      <c r="H9">
        <v>3</v>
      </c>
      <c r="I9">
        <v>2.79</v>
      </c>
      <c r="J9">
        <v>16</v>
      </c>
      <c r="K9">
        <v>7</v>
      </c>
      <c r="L9">
        <v>43.75</v>
      </c>
      <c r="M9">
        <v>490</v>
      </c>
      <c r="N9">
        <v>426</v>
      </c>
      <c r="O9">
        <v>86.94</v>
      </c>
      <c r="P9">
        <v>73.73</v>
      </c>
      <c r="Q9">
        <v>103</v>
      </c>
      <c r="R9">
        <v>20</v>
      </c>
      <c r="S9">
        <v>35</v>
      </c>
      <c r="T9">
        <v>48</v>
      </c>
      <c r="U9">
        <v>63</v>
      </c>
      <c r="V9">
        <v>29</v>
      </c>
      <c r="W9">
        <v>20</v>
      </c>
      <c r="X9">
        <v>14</v>
      </c>
      <c r="Y9">
        <v>111</v>
      </c>
      <c r="Z9">
        <v>57</v>
      </c>
      <c r="AA9">
        <v>51.35</v>
      </c>
      <c r="AB9">
        <v>41.67</v>
      </c>
      <c r="AC9">
        <v>0</v>
      </c>
      <c r="AD9">
        <v>0</v>
      </c>
      <c r="AE9">
        <v>0</v>
      </c>
      <c r="AF9">
        <v>20</v>
      </c>
      <c r="AG9">
        <v>16</v>
      </c>
      <c r="AH9">
        <v>80</v>
      </c>
      <c r="AI9">
        <v>11</v>
      </c>
    </row>
    <row r="10" spans="1:35" ht="12" customHeight="1" x14ac:dyDescent="0.15">
      <c r="A10" s="6" t="s">
        <v>121</v>
      </c>
      <c r="B10" s="5" t="s">
        <v>122</v>
      </c>
      <c r="C10" s="5" t="s">
        <v>123</v>
      </c>
      <c r="D10" s="5" t="s">
        <v>106</v>
      </c>
      <c r="E10" s="5">
        <v>101</v>
      </c>
      <c r="F10" t="s">
        <v>27</v>
      </c>
      <c r="G10" t="s">
        <v>39</v>
      </c>
      <c r="H10">
        <v>3</v>
      </c>
      <c r="I10">
        <v>1.02</v>
      </c>
      <c r="J10">
        <v>14</v>
      </c>
      <c r="K10">
        <v>7</v>
      </c>
      <c r="L10">
        <v>50</v>
      </c>
      <c r="M10">
        <v>480</v>
      </c>
      <c r="N10">
        <v>391</v>
      </c>
      <c r="O10">
        <v>81.459999999999994</v>
      </c>
      <c r="P10">
        <v>54.54</v>
      </c>
      <c r="Q10">
        <v>124</v>
      </c>
      <c r="R10">
        <v>19</v>
      </c>
      <c r="S10">
        <v>39</v>
      </c>
      <c r="T10">
        <v>66</v>
      </c>
      <c r="U10">
        <v>73</v>
      </c>
      <c r="V10">
        <v>24</v>
      </c>
      <c r="W10">
        <v>36</v>
      </c>
      <c r="X10">
        <v>13</v>
      </c>
      <c r="Y10">
        <v>130</v>
      </c>
      <c r="Z10">
        <v>67</v>
      </c>
      <c r="AA10">
        <v>51.54</v>
      </c>
    </row>
    <row r="11" spans="1:35" ht="12" customHeight="1" x14ac:dyDescent="0.15">
      <c r="A11" s="5"/>
      <c r="B11" s="5" t="s">
        <v>122</v>
      </c>
      <c r="C11" s="5" t="s">
        <v>123</v>
      </c>
      <c r="D11" s="5" t="s">
        <v>106</v>
      </c>
      <c r="E11" s="5">
        <v>101</v>
      </c>
      <c r="F11" t="s">
        <v>147</v>
      </c>
      <c r="G11" t="s">
        <v>124</v>
      </c>
      <c r="H11">
        <v>0</v>
      </c>
      <c r="I11">
        <v>0.04</v>
      </c>
      <c r="J11">
        <v>4</v>
      </c>
      <c r="K11">
        <v>2</v>
      </c>
      <c r="L11">
        <v>50</v>
      </c>
      <c r="M11">
        <v>314</v>
      </c>
      <c r="N11">
        <v>222</v>
      </c>
      <c r="O11">
        <v>70.7</v>
      </c>
      <c r="P11">
        <v>45.46</v>
      </c>
      <c r="Q11">
        <v>127</v>
      </c>
      <c r="R11">
        <v>32</v>
      </c>
      <c r="S11">
        <v>48</v>
      </c>
      <c r="T11">
        <v>47</v>
      </c>
      <c r="U11">
        <v>76</v>
      </c>
      <c r="V11">
        <v>44</v>
      </c>
      <c r="W11">
        <v>25</v>
      </c>
      <c r="X11">
        <v>7</v>
      </c>
      <c r="Y11">
        <v>130</v>
      </c>
      <c r="Z11">
        <v>63</v>
      </c>
      <c r="AA11">
        <v>48.46</v>
      </c>
    </row>
    <row r="12" spans="1:35" ht="12" customHeight="1" x14ac:dyDescent="0.15">
      <c r="A12" s="4"/>
      <c r="B12" s="5"/>
      <c r="C12" s="5"/>
      <c r="D12" s="5"/>
      <c r="E12" s="5"/>
    </row>
    <row r="13" spans="1:35" ht="12" customHeight="1" x14ac:dyDescent="0.15">
      <c r="A13" s="5"/>
      <c r="B13" s="5"/>
      <c r="C13" s="5"/>
      <c r="D13" s="5"/>
      <c r="E13" s="5"/>
    </row>
    <row r="14" spans="1:35" ht="12" customHeight="1" x14ac:dyDescent="0.15">
      <c r="A14" s="4"/>
      <c r="B14" s="5"/>
      <c r="C14" s="5"/>
      <c r="D14" s="5"/>
      <c r="E14" s="5"/>
    </row>
    <row r="15" spans="1:35" ht="12" customHeight="1" x14ac:dyDescent="0.15">
      <c r="A15" s="5"/>
      <c r="B15" s="5"/>
      <c r="C15" s="5"/>
      <c r="D15" s="5"/>
      <c r="E15" s="5"/>
    </row>
    <row r="16" spans="1:35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C18" s="5"/>
      <c r="D18" s="5"/>
      <c r="E18" s="5"/>
    </row>
    <row r="19" spans="1:5" ht="12" customHeight="1" x14ac:dyDescent="0.15">
      <c r="A19" s="5"/>
      <c r="B19" s="5"/>
      <c r="C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  <row r="32" spans="1:5" x14ac:dyDescent="0.15">
      <c r="A32" s="2"/>
    </row>
  </sheetData>
  <mergeCells count="70"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D22:D23"/>
    <mergeCell ref="B8:B9"/>
    <mergeCell ref="A16:A17"/>
    <mergeCell ref="C10:C11"/>
    <mergeCell ref="C16:C17"/>
    <mergeCell ref="A6:A7"/>
    <mergeCell ref="E10:E11"/>
    <mergeCell ref="A12:A13"/>
    <mergeCell ref="E28:E29"/>
    <mergeCell ref="A26:A27"/>
    <mergeCell ref="C12:C13"/>
    <mergeCell ref="A18:A19"/>
    <mergeCell ref="A14:A15"/>
    <mergeCell ref="D4:D5"/>
    <mergeCell ref="D16:D17"/>
    <mergeCell ref="E6:E7"/>
    <mergeCell ref="D12:D13"/>
    <mergeCell ref="B28:B29"/>
    <mergeCell ref="B10:B11"/>
    <mergeCell ref="B6:B7"/>
    <mergeCell ref="D28:D29"/>
    <mergeCell ref="B24:B25"/>
    <mergeCell ref="D24:D25"/>
    <mergeCell ref="C24:C25"/>
    <mergeCell ref="B26:B27"/>
    <mergeCell ref="E24:E25"/>
    <mergeCell ref="C26:C27"/>
    <mergeCell ref="B14:B15"/>
    <mergeCell ref="C22:C23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A28:A29"/>
    <mergeCell ref="D26:D27"/>
    <mergeCell ref="B22:B23"/>
    <mergeCell ref="C28:C29"/>
    <mergeCell ref="E18:E19"/>
    <mergeCell ref="E12:E13"/>
    <mergeCell ref="E22:E23"/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"/>
  <sheetViews>
    <sheetView showOutlineSymbols="0" showWhiteSpace="0" workbookViewId="0">
      <selection activeCell="M1" sqref="A1:M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4" t="s">
        <v>29</v>
      </c>
      <c r="B4" s="5" t="s">
        <v>47</v>
      </c>
      <c r="C4" s="5" t="s">
        <v>31</v>
      </c>
      <c r="D4" s="5" t="s">
        <v>32</v>
      </c>
      <c r="E4" s="5">
        <v>94</v>
      </c>
      <c r="F4" t="s">
        <v>27</v>
      </c>
      <c r="G4" t="s">
        <v>33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5"/>
      <c r="B5" s="5"/>
      <c r="C5" s="5"/>
      <c r="D5" s="5"/>
      <c r="E5" s="5"/>
      <c r="F5" t="s">
        <v>34</v>
      </c>
      <c r="G5" t="s">
        <v>35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4" t="s">
        <v>36</v>
      </c>
      <c r="B6" s="5" t="s">
        <v>53</v>
      </c>
      <c r="C6" s="5" t="s">
        <v>38</v>
      </c>
      <c r="D6" s="5" t="s">
        <v>32</v>
      </c>
      <c r="E6" s="5">
        <v>96</v>
      </c>
      <c r="F6" t="s">
        <v>27</v>
      </c>
      <c r="G6" t="s">
        <v>39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5"/>
      <c r="B7" s="5"/>
      <c r="C7" s="5"/>
      <c r="D7" s="5"/>
      <c r="E7" s="5"/>
      <c r="F7" t="s">
        <v>40</v>
      </c>
      <c r="G7" t="s">
        <v>41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4" t="s">
        <v>42</v>
      </c>
      <c r="B8" s="5" t="s">
        <v>59</v>
      </c>
      <c r="C8" s="5" t="s">
        <v>44</v>
      </c>
      <c r="D8" s="5" t="s">
        <v>32</v>
      </c>
      <c r="E8" s="5">
        <v>100</v>
      </c>
      <c r="F8" t="s">
        <v>27</v>
      </c>
      <c r="G8" t="s">
        <v>33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5"/>
      <c r="B9" s="5"/>
      <c r="C9" s="5"/>
      <c r="D9" s="5"/>
      <c r="E9" s="5"/>
      <c r="F9" t="s">
        <v>45</v>
      </c>
      <c r="G9" t="s">
        <v>41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4" t="s">
        <v>46</v>
      </c>
      <c r="B10" s="5" t="s">
        <v>65</v>
      </c>
      <c r="C10" s="5" t="s">
        <v>48</v>
      </c>
      <c r="D10" s="5" t="s">
        <v>32</v>
      </c>
      <c r="E10" s="5">
        <v>97</v>
      </c>
      <c r="F10" t="s">
        <v>27</v>
      </c>
      <c r="G10" t="s">
        <v>49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5"/>
      <c r="B11" s="5"/>
      <c r="C11" s="5"/>
      <c r="D11" s="5"/>
      <c r="E11" s="5"/>
      <c r="F11" t="s">
        <v>50</v>
      </c>
      <c r="G11" t="s">
        <v>51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4" t="s">
        <v>52</v>
      </c>
      <c r="B12" s="5" t="s">
        <v>70</v>
      </c>
      <c r="C12" s="5" t="s">
        <v>54</v>
      </c>
      <c r="D12" s="5" t="s">
        <v>32</v>
      </c>
      <c r="E12" s="5">
        <v>100</v>
      </c>
      <c r="F12" t="s">
        <v>27</v>
      </c>
      <c r="G12" t="s">
        <v>55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5"/>
      <c r="B13" s="5"/>
      <c r="C13" s="5"/>
      <c r="D13" s="5"/>
      <c r="E13" s="5"/>
      <c r="F13" t="s">
        <v>56</v>
      </c>
      <c r="G13" t="s">
        <v>57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4" t="s">
        <v>58</v>
      </c>
      <c r="B14" s="5" t="s">
        <v>74</v>
      </c>
      <c r="C14" s="5" t="s">
        <v>60</v>
      </c>
      <c r="D14" s="5" t="s">
        <v>32</v>
      </c>
      <c r="E14" s="5">
        <v>101</v>
      </c>
      <c r="F14" t="s">
        <v>27</v>
      </c>
      <c r="G14" t="s">
        <v>61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5"/>
      <c r="B15" s="5"/>
      <c r="C15" s="5"/>
      <c r="D15" s="5"/>
      <c r="E15" s="5"/>
      <c r="F15" t="s">
        <v>62</v>
      </c>
      <c r="G15" t="s">
        <v>63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4" t="s">
        <v>64</v>
      </c>
      <c r="B16" s="5" t="s">
        <v>78</v>
      </c>
      <c r="C16" s="5" t="s">
        <v>66</v>
      </c>
      <c r="D16" s="5" t="s">
        <v>32</v>
      </c>
      <c r="E16" s="5">
        <v>98</v>
      </c>
      <c r="F16" t="s">
        <v>27</v>
      </c>
      <c r="G16" t="s">
        <v>55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5"/>
      <c r="B17" s="5"/>
      <c r="C17" s="5"/>
      <c r="D17" s="5"/>
      <c r="E17" s="5"/>
      <c r="F17" t="s">
        <v>67</v>
      </c>
      <c r="G17" t="s">
        <v>68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4" t="s">
        <v>69</v>
      </c>
      <c r="B18" s="5" t="s">
        <v>81</v>
      </c>
      <c r="C18" t="s">
        <v>71</v>
      </c>
      <c r="D18" s="5" t="s">
        <v>32</v>
      </c>
      <c r="E18" s="5">
        <v>99</v>
      </c>
      <c r="F18" t="s">
        <v>27</v>
      </c>
      <c r="G18" t="s">
        <v>51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5"/>
      <c r="B19" s="5"/>
      <c r="C19" t="s">
        <v>71</v>
      </c>
      <c r="D19" s="5"/>
      <c r="E19" s="5"/>
      <c r="F19" t="s">
        <v>72</v>
      </c>
      <c r="G19" t="s">
        <v>55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4" t="s">
        <v>73</v>
      </c>
      <c r="B20" s="5" t="s">
        <v>87</v>
      </c>
      <c r="C20" s="5" t="s">
        <v>75</v>
      </c>
      <c r="D20" s="5" t="s">
        <v>32</v>
      </c>
      <c r="E20" s="5">
        <v>93</v>
      </c>
      <c r="F20" t="s">
        <v>27</v>
      </c>
      <c r="G20" t="s">
        <v>33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5"/>
      <c r="B21" s="5"/>
      <c r="C21" s="5"/>
      <c r="D21" s="5"/>
      <c r="E21" s="5"/>
      <c r="F21" t="s">
        <v>76</v>
      </c>
      <c r="G21" t="s">
        <v>55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4" t="s">
        <v>77</v>
      </c>
      <c r="B22" s="5" t="s">
        <v>30</v>
      </c>
      <c r="C22" s="5" t="s">
        <v>79</v>
      </c>
      <c r="D22" s="5" t="s">
        <v>32</v>
      </c>
      <c r="E22" s="5">
        <v>92</v>
      </c>
      <c r="F22" t="s">
        <v>27</v>
      </c>
      <c r="G22" t="s">
        <v>33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5"/>
      <c r="B23" s="5"/>
      <c r="C23" s="5"/>
      <c r="D23" s="5"/>
      <c r="E23" s="5"/>
      <c r="F23" t="s">
        <v>67</v>
      </c>
      <c r="G23" t="s">
        <v>41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4" t="s">
        <v>80</v>
      </c>
      <c r="B24" s="5" t="s">
        <v>37</v>
      </c>
      <c r="C24" s="5" t="s">
        <v>82</v>
      </c>
      <c r="D24" s="5" t="s">
        <v>32</v>
      </c>
      <c r="E24" s="5">
        <v>96</v>
      </c>
      <c r="F24" t="s">
        <v>27</v>
      </c>
      <c r="G24" t="s">
        <v>83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5"/>
      <c r="B25" s="5"/>
      <c r="C25" s="5"/>
      <c r="D25" s="5"/>
      <c r="E25" s="5"/>
      <c r="F25" t="s">
        <v>84</v>
      </c>
      <c r="G25" t="s">
        <v>85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4" t="s">
        <v>86</v>
      </c>
      <c r="B26" s="5" t="s">
        <v>43</v>
      </c>
      <c r="C26" s="5" t="s">
        <v>88</v>
      </c>
      <c r="D26" s="5" t="s">
        <v>32</v>
      </c>
      <c r="E26" s="5">
        <v>100</v>
      </c>
      <c r="F26" t="s">
        <v>27</v>
      </c>
      <c r="G26" t="s">
        <v>51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5"/>
      <c r="B27" s="5"/>
      <c r="C27" s="5"/>
      <c r="D27" s="5"/>
      <c r="E27" s="5"/>
      <c r="F27" t="s">
        <v>89</v>
      </c>
      <c r="G27" t="s">
        <v>61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4" t="s">
        <v>90</v>
      </c>
      <c r="B28" s="5" t="s">
        <v>91</v>
      </c>
      <c r="C28" s="5" t="s">
        <v>92</v>
      </c>
      <c r="D28" s="5" t="s">
        <v>32</v>
      </c>
      <c r="E28" s="5">
        <v>92</v>
      </c>
      <c r="F28" t="s">
        <v>27</v>
      </c>
      <c r="G28" t="s">
        <v>93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5"/>
      <c r="B29" s="5"/>
      <c r="C29" s="5"/>
      <c r="D29" s="5"/>
      <c r="E29" s="5"/>
      <c r="F29" t="s">
        <v>94</v>
      </c>
      <c r="G29" t="s">
        <v>95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4" t="s">
        <v>96</v>
      </c>
      <c r="B30" s="5" t="s">
        <v>97</v>
      </c>
      <c r="C30" s="5" t="s">
        <v>98</v>
      </c>
      <c r="D30" s="5" t="s">
        <v>32</v>
      </c>
      <c r="E30" s="5">
        <v>95</v>
      </c>
      <c r="F30" t="s">
        <v>27</v>
      </c>
      <c r="G30" t="s">
        <v>99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5"/>
      <c r="B31" s="5"/>
      <c r="C31" s="5"/>
      <c r="D31" s="5"/>
      <c r="E31" s="5"/>
      <c r="F31" t="s">
        <v>100</v>
      </c>
      <c r="G31" t="s">
        <v>101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A6:A7"/>
    <mergeCell ref="E10:E11"/>
    <mergeCell ref="A12:A13"/>
    <mergeCell ref="A26:A27"/>
    <mergeCell ref="A14:A15"/>
    <mergeCell ref="A18:A19"/>
    <mergeCell ref="C30:C31"/>
    <mergeCell ref="A24:A25"/>
    <mergeCell ref="B12:B13"/>
    <mergeCell ref="B18:B19"/>
    <mergeCell ref="C20:C21"/>
    <mergeCell ref="A16:A17"/>
    <mergeCell ref="C16:C17"/>
    <mergeCell ref="E28:E29"/>
    <mergeCell ref="D4:D5"/>
    <mergeCell ref="C12:C13"/>
    <mergeCell ref="D16:D17"/>
    <mergeCell ref="E6:E7"/>
    <mergeCell ref="D12:D13"/>
    <mergeCell ref="E14:E15"/>
    <mergeCell ref="C26:C27"/>
    <mergeCell ref="C22:C23"/>
    <mergeCell ref="E8:E9"/>
    <mergeCell ref="C4:C5"/>
    <mergeCell ref="E4:E5"/>
    <mergeCell ref="E20:E21"/>
    <mergeCell ref="D22:D23"/>
    <mergeCell ref="C10:C11"/>
    <mergeCell ref="B28:B29"/>
    <mergeCell ref="B10:B11"/>
    <mergeCell ref="B6:B7"/>
    <mergeCell ref="B24:B25"/>
    <mergeCell ref="D28:D29"/>
    <mergeCell ref="D24:D25"/>
    <mergeCell ref="B14:B15"/>
    <mergeCell ref="B26:B27"/>
    <mergeCell ref="B8:B9"/>
    <mergeCell ref="E30:E31"/>
    <mergeCell ref="A8:A9"/>
    <mergeCell ref="A22:A23"/>
    <mergeCell ref="D18:D19"/>
    <mergeCell ref="C8:C9"/>
    <mergeCell ref="E26:E27"/>
    <mergeCell ref="B30:B31"/>
    <mergeCell ref="D30:D31"/>
    <mergeCell ref="A28:A29"/>
    <mergeCell ref="B22:B23"/>
    <mergeCell ref="C28:C29"/>
    <mergeCell ref="D26:D27"/>
    <mergeCell ref="E22:E23"/>
    <mergeCell ref="C24:C25"/>
    <mergeCell ref="E24:E25"/>
    <mergeCell ref="A30:A31"/>
    <mergeCell ref="A4:A5"/>
    <mergeCell ref="D8:D9"/>
    <mergeCell ref="A20:A21"/>
    <mergeCell ref="B20:B21"/>
    <mergeCell ref="E16:E17"/>
    <mergeCell ref="A10:A11"/>
    <mergeCell ref="D20:D21"/>
    <mergeCell ref="D14:D15"/>
    <mergeCell ref="D10:D11"/>
    <mergeCell ref="B4:B5"/>
    <mergeCell ref="E18:E19"/>
    <mergeCell ref="E12:E13"/>
    <mergeCell ref="B16:B17"/>
    <mergeCell ref="C6:C7"/>
    <mergeCell ref="D6:D7"/>
    <mergeCell ref="C14:C15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2"/>
  <sheetViews>
    <sheetView showOutlineSymbols="0" showWhiteSpace="0" zoomScale="75" workbookViewId="0">
      <selection activeCell="D26" sqref="D26:D27"/>
    </sheetView>
  </sheetViews>
  <sheetFormatPr baseColWidth="10" defaultColWidth="8.83203125" defaultRowHeight="14" x14ac:dyDescent="0.15"/>
  <cols>
    <col min="1" max="1" width="16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M3" si="0">AVERAGE(H4,H6,H8,H10)</f>
        <v>17.267499999999998</v>
      </c>
      <c r="I2" s="1">
        <f t="shared" si="0"/>
        <v>3.2575000000000003</v>
      </c>
      <c r="J2" s="1">
        <f t="shared" si="0"/>
        <v>15.475</v>
      </c>
      <c r="K2" s="1">
        <f t="shared" si="0"/>
        <v>11.692500000000001</v>
      </c>
      <c r="L2" s="1">
        <f t="shared" si="0"/>
        <v>17.087499999999999</v>
      </c>
      <c r="M2" s="1">
        <f t="shared" si="0"/>
        <v>20.717500000000001</v>
      </c>
    </row>
    <row r="3" spans="1:1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15.025</v>
      </c>
      <c r="I3" s="1">
        <f t="shared" si="0"/>
        <v>3.9549999999999996</v>
      </c>
      <c r="J3" s="1">
        <f t="shared" si="0"/>
        <v>9.5649999999999995</v>
      </c>
      <c r="K3" s="1">
        <f t="shared" si="0"/>
        <v>12.274999999999999</v>
      </c>
      <c r="L3" s="1">
        <f t="shared" si="0"/>
        <v>18.64</v>
      </c>
      <c r="M3" s="1">
        <f t="shared" si="0"/>
        <v>19.607500000000002</v>
      </c>
    </row>
    <row r="4" spans="1:13" ht="12" customHeight="1" x14ac:dyDescent="0.15">
      <c r="A4" s="6" t="s">
        <v>103</v>
      </c>
      <c r="B4" s="5" t="s">
        <v>104</v>
      </c>
      <c r="C4" s="5" t="s">
        <v>105</v>
      </c>
      <c r="D4" s="5" t="s">
        <v>106</v>
      </c>
      <c r="E4" s="5">
        <v>96</v>
      </c>
      <c r="F4" t="s">
        <v>27</v>
      </c>
      <c r="G4" t="s">
        <v>33</v>
      </c>
      <c r="H4">
        <v>16.97</v>
      </c>
      <c r="I4">
        <v>4.3499999999999996</v>
      </c>
      <c r="J4">
        <v>10.48</v>
      </c>
      <c r="K4">
        <v>8.23</v>
      </c>
      <c r="L4">
        <v>14.55</v>
      </c>
      <c r="M4">
        <v>19.54</v>
      </c>
    </row>
    <row r="5" spans="1:13" ht="12" customHeight="1" x14ac:dyDescent="0.15">
      <c r="A5" s="5"/>
      <c r="B5" s="5" t="s">
        <v>104</v>
      </c>
      <c r="C5" s="5" t="s">
        <v>105</v>
      </c>
      <c r="D5" s="5" t="s">
        <v>106</v>
      </c>
      <c r="E5" s="5">
        <v>96</v>
      </c>
      <c r="F5" t="s">
        <v>108</v>
      </c>
      <c r="G5" t="s">
        <v>51</v>
      </c>
      <c r="H5">
        <v>15.48</v>
      </c>
      <c r="I5">
        <v>3.17</v>
      </c>
      <c r="J5">
        <v>9.2899999999999991</v>
      </c>
      <c r="K5">
        <v>19.829999999999998</v>
      </c>
      <c r="L5">
        <v>13.55</v>
      </c>
      <c r="M5">
        <v>18.850000000000001</v>
      </c>
    </row>
    <row r="6" spans="1:13" ht="12" customHeight="1" x14ac:dyDescent="0.15">
      <c r="A6" s="6" t="s">
        <v>110</v>
      </c>
      <c r="B6" s="5" t="s">
        <v>111</v>
      </c>
      <c r="C6" s="5" t="s">
        <v>112</v>
      </c>
      <c r="D6" s="5" t="s">
        <v>106</v>
      </c>
      <c r="E6" s="5">
        <v>99</v>
      </c>
      <c r="F6" t="s">
        <v>27</v>
      </c>
      <c r="G6" t="s">
        <v>113</v>
      </c>
      <c r="H6">
        <v>17.91</v>
      </c>
      <c r="I6">
        <v>2.23</v>
      </c>
      <c r="J6">
        <v>22.22</v>
      </c>
      <c r="K6">
        <v>14.1</v>
      </c>
      <c r="L6">
        <v>15.89</v>
      </c>
      <c r="M6">
        <v>21.97</v>
      </c>
    </row>
    <row r="7" spans="1:13" ht="12" customHeight="1" x14ac:dyDescent="0.15">
      <c r="A7" s="5"/>
      <c r="B7" s="5" t="s">
        <v>111</v>
      </c>
      <c r="C7" s="5" t="s">
        <v>112</v>
      </c>
      <c r="D7" s="5" t="s">
        <v>106</v>
      </c>
      <c r="E7" s="5">
        <v>99</v>
      </c>
      <c r="F7" t="s">
        <v>114</v>
      </c>
      <c r="G7" t="s">
        <v>115</v>
      </c>
      <c r="H7">
        <v>14.82</v>
      </c>
      <c r="I7">
        <v>4.72</v>
      </c>
      <c r="J7">
        <v>9.19</v>
      </c>
      <c r="K7">
        <v>6.33</v>
      </c>
      <c r="L7">
        <v>17.55</v>
      </c>
      <c r="M7">
        <v>20.22</v>
      </c>
    </row>
    <row r="8" spans="1:13" ht="12" customHeight="1" x14ac:dyDescent="0.15">
      <c r="A8" s="6" t="s">
        <v>116</v>
      </c>
      <c r="B8" s="5" t="s">
        <v>117</v>
      </c>
      <c r="C8" s="5" t="s">
        <v>118</v>
      </c>
      <c r="D8" s="5" t="s">
        <v>106</v>
      </c>
      <c r="E8" s="5">
        <v>106</v>
      </c>
      <c r="F8" t="s">
        <v>27</v>
      </c>
      <c r="G8" t="s">
        <v>39</v>
      </c>
      <c r="H8">
        <v>15.56</v>
      </c>
      <c r="I8">
        <v>1.79</v>
      </c>
      <c r="J8">
        <v>18.989999999999998</v>
      </c>
      <c r="K8">
        <v>15.7</v>
      </c>
      <c r="L8">
        <v>19.059999999999999</v>
      </c>
      <c r="M8">
        <v>22.19</v>
      </c>
    </row>
    <row r="9" spans="1:13" ht="12" customHeight="1" x14ac:dyDescent="0.15">
      <c r="A9" s="5"/>
      <c r="B9" s="5" t="s">
        <v>117</v>
      </c>
      <c r="C9" s="5" t="s">
        <v>118</v>
      </c>
      <c r="D9" s="5" t="s">
        <v>106</v>
      </c>
      <c r="E9" s="5">
        <v>106</v>
      </c>
      <c r="F9" t="s">
        <v>119</v>
      </c>
      <c r="G9" t="s">
        <v>120</v>
      </c>
      <c r="H9">
        <v>15.18</v>
      </c>
      <c r="I9">
        <v>4.76</v>
      </c>
      <c r="J9">
        <v>4.49</v>
      </c>
      <c r="K9">
        <v>6.05</v>
      </c>
      <c r="L9">
        <v>18.79</v>
      </c>
      <c r="M9">
        <v>18.690000000000001</v>
      </c>
    </row>
    <row r="10" spans="1:13" ht="12" customHeight="1" x14ac:dyDescent="0.15">
      <c r="A10" s="6" t="s">
        <v>121</v>
      </c>
      <c r="B10" s="5" t="s">
        <v>122</v>
      </c>
      <c r="C10" s="5" t="s">
        <v>123</v>
      </c>
      <c r="D10" s="5" t="s">
        <v>106</v>
      </c>
      <c r="E10" s="5">
        <v>101</v>
      </c>
      <c r="F10" t="s">
        <v>27</v>
      </c>
      <c r="G10" t="s">
        <v>39</v>
      </c>
      <c r="H10">
        <v>18.63</v>
      </c>
      <c r="I10">
        <v>4.66</v>
      </c>
      <c r="J10">
        <v>10.210000000000001</v>
      </c>
      <c r="K10">
        <v>8.74</v>
      </c>
      <c r="L10">
        <v>18.850000000000001</v>
      </c>
      <c r="M10">
        <v>19.170000000000002</v>
      </c>
    </row>
    <row r="11" spans="1:13" ht="12" customHeight="1" x14ac:dyDescent="0.15">
      <c r="A11" s="5"/>
      <c r="B11" s="5" t="s">
        <v>122</v>
      </c>
      <c r="C11" s="5" t="s">
        <v>123</v>
      </c>
      <c r="D11" s="5" t="s">
        <v>106</v>
      </c>
      <c r="E11" s="5">
        <v>101</v>
      </c>
      <c r="F11" t="s">
        <v>147</v>
      </c>
      <c r="G11" t="s">
        <v>124</v>
      </c>
      <c r="H11">
        <v>14.62</v>
      </c>
      <c r="I11">
        <v>3.17</v>
      </c>
      <c r="J11">
        <v>15.29</v>
      </c>
      <c r="K11">
        <v>16.89</v>
      </c>
      <c r="L11">
        <v>24.67</v>
      </c>
      <c r="M11">
        <v>20.67</v>
      </c>
    </row>
    <row r="12" spans="1:13" ht="12" customHeight="1" x14ac:dyDescent="0.15">
      <c r="A12" s="4"/>
      <c r="B12" s="5"/>
      <c r="C12" s="5"/>
      <c r="D12" s="5"/>
      <c r="E12" s="5"/>
    </row>
    <row r="13" spans="1:13" ht="12" customHeight="1" x14ac:dyDescent="0.15">
      <c r="A13" s="5"/>
      <c r="B13" s="5"/>
      <c r="C13" s="5"/>
      <c r="D13" s="5"/>
      <c r="E13" s="5"/>
    </row>
    <row r="14" spans="1:13" ht="12" customHeight="1" x14ac:dyDescent="0.15">
      <c r="A14" s="4"/>
      <c r="B14" s="5"/>
      <c r="C14" s="5"/>
      <c r="D14" s="5"/>
      <c r="E14" s="5"/>
    </row>
    <row r="15" spans="1:13" ht="12" customHeight="1" x14ac:dyDescent="0.15">
      <c r="A15" s="5"/>
      <c r="B15" s="5"/>
      <c r="C15" s="5"/>
      <c r="D15" s="5"/>
      <c r="E15" s="5"/>
    </row>
    <row r="16" spans="1:13" ht="12" customHeight="1" x14ac:dyDescent="0.15">
      <c r="A16" s="4"/>
      <c r="B16" s="5"/>
      <c r="C16" s="5"/>
      <c r="D16" s="5"/>
      <c r="E16" s="5"/>
    </row>
    <row r="17" spans="1:5" ht="12" customHeight="1" x14ac:dyDescent="0.15">
      <c r="A17" s="5"/>
      <c r="B17" s="5"/>
      <c r="C17" s="5"/>
      <c r="D17" s="5"/>
      <c r="E17" s="5"/>
    </row>
    <row r="18" spans="1:5" ht="12" customHeight="1" x14ac:dyDescent="0.15">
      <c r="A18" s="4"/>
      <c r="B18" s="5"/>
      <c r="D18" s="5"/>
      <c r="E18" s="5"/>
    </row>
    <row r="19" spans="1:5" ht="12" customHeight="1" x14ac:dyDescent="0.15">
      <c r="A19" s="5"/>
      <c r="B19" s="5"/>
      <c r="D19" s="5"/>
      <c r="E19" s="5"/>
    </row>
    <row r="20" spans="1:5" ht="12" customHeight="1" x14ac:dyDescent="0.15">
      <c r="A20" s="4"/>
      <c r="B20" s="5"/>
      <c r="C20" s="5"/>
      <c r="D20" s="5"/>
      <c r="E20" s="5"/>
    </row>
    <row r="21" spans="1:5" ht="12" customHeight="1" x14ac:dyDescent="0.15">
      <c r="A21" s="5"/>
      <c r="B21" s="5"/>
      <c r="C21" s="5"/>
      <c r="D21" s="5"/>
      <c r="E21" s="5"/>
    </row>
    <row r="22" spans="1:5" x14ac:dyDescent="0.15">
      <c r="A22" s="4"/>
      <c r="B22" s="5"/>
      <c r="C22" s="5"/>
      <c r="D22" s="5"/>
      <c r="E22" s="5"/>
    </row>
    <row r="23" spans="1:5" x14ac:dyDescent="0.15">
      <c r="A23" s="5"/>
      <c r="B23" s="5"/>
      <c r="C23" s="5"/>
      <c r="D23" s="5"/>
      <c r="E23" s="5"/>
    </row>
    <row r="24" spans="1:5" x14ac:dyDescent="0.15">
      <c r="A24" s="4"/>
      <c r="B24" s="5"/>
      <c r="C24" s="5"/>
      <c r="D24" s="5"/>
      <c r="E24" s="5"/>
    </row>
    <row r="25" spans="1:5" x14ac:dyDescent="0.15">
      <c r="A25" s="5"/>
      <c r="B25" s="5"/>
      <c r="C25" s="5"/>
      <c r="D25" s="5"/>
      <c r="E25" s="5"/>
    </row>
    <row r="26" spans="1:5" x14ac:dyDescent="0.15">
      <c r="A26" s="4"/>
      <c r="B26" s="5"/>
      <c r="C26" s="5"/>
      <c r="D26" s="5"/>
      <c r="E26" s="5"/>
    </row>
    <row r="27" spans="1:5" x14ac:dyDescent="0.15">
      <c r="A27" s="5"/>
      <c r="B27" s="5"/>
      <c r="C27" s="5"/>
      <c r="D27" s="5"/>
      <c r="E27" s="5"/>
    </row>
    <row r="28" spans="1:5" x14ac:dyDescent="0.15">
      <c r="A28" s="4"/>
      <c r="B28" s="5"/>
      <c r="C28" s="5"/>
      <c r="D28" s="5"/>
      <c r="E28" s="5"/>
    </row>
    <row r="29" spans="1:5" x14ac:dyDescent="0.15">
      <c r="A29" s="5"/>
      <c r="B29" s="5"/>
      <c r="C29" s="5"/>
      <c r="D29" s="5"/>
      <c r="E29" s="5"/>
    </row>
    <row r="30" spans="1:5" x14ac:dyDescent="0.15">
      <c r="A30" s="4"/>
      <c r="B30" s="5"/>
      <c r="C30" s="5"/>
      <c r="D30" s="5"/>
      <c r="E30" s="5"/>
    </row>
    <row r="31" spans="1:5" x14ac:dyDescent="0.15">
      <c r="A31" s="5"/>
      <c r="B31" s="5"/>
      <c r="C31" s="5"/>
      <c r="D31" s="5"/>
      <c r="E31" s="5"/>
    </row>
    <row r="32" spans="1:5" x14ac:dyDescent="0.15">
      <c r="A32" s="2"/>
    </row>
  </sheetData>
  <mergeCells count="69">
    <mergeCell ref="E4:E5"/>
    <mergeCell ref="C20:C21"/>
    <mergeCell ref="E20:E21"/>
    <mergeCell ref="D22:D23"/>
    <mergeCell ref="B8:B9"/>
    <mergeCell ref="C10:C11"/>
    <mergeCell ref="C16:C17"/>
    <mergeCell ref="E10:E11"/>
    <mergeCell ref="D4:D5"/>
    <mergeCell ref="A26:A27"/>
    <mergeCell ref="C12:C13"/>
    <mergeCell ref="A18:A19"/>
    <mergeCell ref="A14:A15"/>
    <mergeCell ref="A4:A5"/>
    <mergeCell ref="B4:B5"/>
    <mergeCell ref="A24:A25"/>
    <mergeCell ref="B12:B13"/>
    <mergeCell ref="C4:C5"/>
    <mergeCell ref="B18:B19"/>
    <mergeCell ref="A16:A17"/>
    <mergeCell ref="A6:A7"/>
    <mergeCell ref="E6:E7"/>
    <mergeCell ref="D12:D13"/>
    <mergeCell ref="B10:B11"/>
    <mergeCell ref="B28:B29"/>
    <mergeCell ref="B6:B7"/>
    <mergeCell ref="B24:B25"/>
    <mergeCell ref="D24:D25"/>
    <mergeCell ref="D28:D29"/>
    <mergeCell ref="D6:D7"/>
    <mergeCell ref="C6:C7"/>
    <mergeCell ref="C26:C27"/>
    <mergeCell ref="B14:B15"/>
    <mergeCell ref="C22:C23"/>
    <mergeCell ref="E8:E9"/>
    <mergeCell ref="E26:E27"/>
    <mergeCell ref="D14:D15"/>
    <mergeCell ref="B30:B31"/>
    <mergeCell ref="D30:D31"/>
    <mergeCell ref="D10:D11"/>
    <mergeCell ref="E28:E29"/>
    <mergeCell ref="D16:D17"/>
    <mergeCell ref="C30:C31"/>
    <mergeCell ref="A8:A9"/>
    <mergeCell ref="C8:C9"/>
    <mergeCell ref="D18:D19"/>
    <mergeCell ref="A22:A23"/>
    <mergeCell ref="D8:D9"/>
    <mergeCell ref="A20:A21"/>
    <mergeCell ref="B20:B21"/>
    <mergeCell ref="A10:A11"/>
    <mergeCell ref="D20:D21"/>
    <mergeCell ref="A12:A13"/>
    <mergeCell ref="A30:A31"/>
    <mergeCell ref="E14:E15"/>
    <mergeCell ref="A28:A29"/>
    <mergeCell ref="E18:E19"/>
    <mergeCell ref="E12:E13"/>
    <mergeCell ref="D26:D27"/>
    <mergeCell ref="B22:B23"/>
    <mergeCell ref="C28:C29"/>
    <mergeCell ref="E22:E23"/>
    <mergeCell ref="B16:B17"/>
    <mergeCell ref="C24:C25"/>
    <mergeCell ref="B26:B27"/>
    <mergeCell ref="E24:E25"/>
    <mergeCell ref="C14:C15"/>
    <mergeCell ref="E30:E31"/>
    <mergeCell ref="E16:E17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16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5" ht="56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7</v>
      </c>
      <c r="AW1" t="s">
        <v>200</v>
      </c>
      <c r="AX1" s="5" t="s">
        <v>201</v>
      </c>
      <c r="AY1" s="5"/>
      <c r="AZ1" t="s">
        <v>8</v>
      </c>
      <c r="BA1" t="s">
        <v>215</v>
      </c>
      <c r="BB1" s="5" t="s">
        <v>204</v>
      </c>
      <c r="BC1" s="5"/>
      <c r="BD1" s="5" t="s">
        <v>205</v>
      </c>
      <c r="BE1" s="5"/>
      <c r="BF1" s="5" t="s">
        <v>216</v>
      </c>
      <c r="BG1" s="5"/>
      <c r="BH1" t="s">
        <v>217</v>
      </c>
      <c r="BI1" t="s">
        <v>146</v>
      </c>
      <c r="BJ1" t="s">
        <v>218</v>
      </c>
      <c r="BK1" t="s">
        <v>219</v>
      </c>
      <c r="BL1" s="5" t="s">
        <v>202</v>
      </c>
      <c r="BM1" s="5"/>
      <c r="BN1" s="5" t="s">
        <v>203</v>
      </c>
      <c r="BO1" s="5"/>
      <c r="BP1" s="5" t="s">
        <v>220</v>
      </c>
      <c r="BQ1" s="5"/>
      <c r="BR1" s="5" t="s">
        <v>204</v>
      </c>
      <c r="BS1" s="5"/>
      <c r="BT1" t="s">
        <v>200</v>
      </c>
      <c r="BU1" t="s">
        <v>221</v>
      </c>
      <c r="BV1" t="s">
        <v>222</v>
      </c>
      <c r="BW1" s="5" t="s">
        <v>223</v>
      </c>
      <c r="BX1" s="5"/>
      <c r="BY1" s="5" t="s">
        <v>224</v>
      </c>
      <c r="BZ1" s="5"/>
      <c r="CA1" t="s">
        <v>225</v>
      </c>
      <c r="CB1" s="5" t="s">
        <v>226</v>
      </c>
      <c r="CC1" s="5"/>
      <c r="CD1" s="5" t="s">
        <v>227</v>
      </c>
      <c r="CE1" s="5"/>
    </row>
    <row r="2" spans="1:85" ht="12" customHeight="1" x14ac:dyDescent="0.15">
      <c r="A2" t="s">
        <v>90</v>
      </c>
      <c r="B2" t="s">
        <v>98</v>
      </c>
      <c r="C2" t="s">
        <v>32</v>
      </c>
      <c r="D2" t="s">
        <v>97</v>
      </c>
      <c r="E2" t="s">
        <v>228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5" ht="12" customHeight="1" x14ac:dyDescent="0.15">
      <c r="A3" t="s">
        <v>77</v>
      </c>
      <c r="B3" t="s">
        <v>79</v>
      </c>
      <c r="C3" t="s">
        <v>32</v>
      </c>
      <c r="D3" t="s">
        <v>30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5" ht="12" customHeight="1" x14ac:dyDescent="0.15">
      <c r="A4" t="s">
        <v>80</v>
      </c>
      <c r="B4" t="s">
        <v>82</v>
      </c>
      <c r="C4" t="s">
        <v>32</v>
      </c>
      <c r="D4" t="s">
        <v>37</v>
      </c>
      <c r="E4" t="s">
        <v>229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5" ht="12" customHeight="1" x14ac:dyDescent="0.15">
      <c r="A5" t="s">
        <v>86</v>
      </c>
      <c r="B5" t="s">
        <v>88</v>
      </c>
      <c r="C5" t="s">
        <v>32</v>
      </c>
      <c r="D5" t="s">
        <v>43</v>
      </c>
      <c r="E5" t="s">
        <v>228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5" ht="12" customHeight="1" x14ac:dyDescent="0.15">
      <c r="A6" t="s">
        <v>29</v>
      </c>
      <c r="B6" t="s">
        <v>31</v>
      </c>
      <c r="C6" t="s">
        <v>32</v>
      </c>
      <c r="D6" t="s">
        <v>47</v>
      </c>
      <c r="E6" t="s">
        <v>228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5" ht="12" customHeight="1" x14ac:dyDescent="0.15">
      <c r="A7" t="s">
        <v>36</v>
      </c>
      <c r="B7" t="s">
        <v>38</v>
      </c>
      <c r="C7" t="s">
        <v>32</v>
      </c>
      <c r="D7" t="s">
        <v>53</v>
      </c>
      <c r="E7" t="s">
        <v>228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5" ht="12" customHeight="1" x14ac:dyDescent="0.15">
      <c r="A8" t="s">
        <v>42</v>
      </c>
      <c r="B8" t="s">
        <v>44</v>
      </c>
      <c r="C8" t="s">
        <v>32</v>
      </c>
      <c r="D8" t="s">
        <v>59</v>
      </c>
      <c r="E8" t="s">
        <v>228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5" ht="12" customHeight="1" x14ac:dyDescent="0.15">
      <c r="A9" t="s">
        <v>46</v>
      </c>
      <c r="B9" t="s">
        <v>48</v>
      </c>
      <c r="C9" t="s">
        <v>32</v>
      </c>
      <c r="D9" t="s">
        <v>65</v>
      </c>
      <c r="E9" t="s">
        <v>228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5" ht="12" customHeight="1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5" ht="12" customHeight="1" x14ac:dyDescent="0.15">
      <c r="A11" t="s">
        <v>69</v>
      </c>
      <c r="B11" t="s">
        <v>71</v>
      </c>
      <c r="C11" t="s">
        <v>32</v>
      </c>
      <c r="D11" t="s">
        <v>81</v>
      </c>
      <c r="E11" t="s">
        <v>228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5" ht="12" customHeight="1" x14ac:dyDescent="0.15">
      <c r="A12" t="s">
        <v>73</v>
      </c>
      <c r="B12" t="s">
        <v>75</v>
      </c>
      <c r="C12" t="s">
        <v>32</v>
      </c>
      <c r="D12" t="s">
        <v>87</v>
      </c>
      <c r="E12" t="s">
        <v>228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  <row r="13" spans="1:85" x14ac:dyDescent="0.15">
      <c r="A13" t="s">
        <v>121</v>
      </c>
      <c r="B13" t="s">
        <v>123</v>
      </c>
      <c r="C13" t="s">
        <v>106</v>
      </c>
      <c r="D13" t="s">
        <v>122</v>
      </c>
      <c r="E13" t="s">
        <v>230</v>
      </c>
      <c r="F13">
        <v>102</v>
      </c>
      <c r="G13">
        <v>76</v>
      </c>
      <c r="H13">
        <v>66</v>
      </c>
      <c r="I13">
        <v>0</v>
      </c>
      <c r="J13">
        <v>0</v>
      </c>
      <c r="K13">
        <v>1</v>
      </c>
      <c r="L13">
        <v>1</v>
      </c>
      <c r="M13">
        <v>0.09</v>
      </c>
      <c r="N13">
        <v>62</v>
      </c>
      <c r="O13">
        <v>57</v>
      </c>
      <c r="P13">
        <v>4</v>
      </c>
      <c r="Q13">
        <v>3</v>
      </c>
      <c r="R13">
        <v>0</v>
      </c>
      <c r="S13">
        <v>0</v>
      </c>
      <c r="T13">
        <v>0</v>
      </c>
      <c r="U13">
        <v>0</v>
      </c>
      <c r="V13">
        <v>4</v>
      </c>
      <c r="W13">
        <v>4</v>
      </c>
      <c r="X13">
        <v>1</v>
      </c>
      <c r="Y13">
        <v>1</v>
      </c>
      <c r="Z13">
        <v>6</v>
      </c>
      <c r="AA13">
        <v>10</v>
      </c>
      <c r="AB13">
        <v>4</v>
      </c>
      <c r="AC13">
        <v>9</v>
      </c>
      <c r="AD13">
        <v>0</v>
      </c>
      <c r="AE13">
        <v>0</v>
      </c>
      <c r="AF13">
        <v>0</v>
      </c>
      <c r="AG13">
        <v>2</v>
      </c>
      <c r="AH13">
        <v>2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6</v>
      </c>
      <c r="AP13">
        <v>10</v>
      </c>
      <c r="AQ13">
        <v>4</v>
      </c>
      <c r="AR13">
        <v>9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1</v>
      </c>
      <c r="BN13">
        <v>62</v>
      </c>
      <c r="BO13">
        <v>57</v>
      </c>
      <c r="BP13">
        <v>4</v>
      </c>
      <c r="BQ13">
        <v>3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11</v>
      </c>
      <c r="BZ13">
        <v>11</v>
      </c>
      <c r="CA13">
        <v>0</v>
      </c>
      <c r="CB13">
        <v>0</v>
      </c>
      <c r="CC13">
        <v>50</v>
      </c>
      <c r="CD13">
        <v>33</v>
      </c>
      <c r="CE13">
        <v>30</v>
      </c>
      <c r="CF13">
        <v>0</v>
      </c>
      <c r="CG13">
        <v>0</v>
      </c>
    </row>
    <row r="14" spans="1:85" x14ac:dyDescent="0.15">
      <c r="A14" t="s">
        <v>116</v>
      </c>
      <c r="B14" t="s">
        <v>118</v>
      </c>
      <c r="C14" t="s">
        <v>106</v>
      </c>
      <c r="D14" t="s">
        <v>117</v>
      </c>
      <c r="E14" t="s">
        <v>230</v>
      </c>
      <c r="F14">
        <v>106</v>
      </c>
      <c r="G14">
        <v>26</v>
      </c>
      <c r="H14">
        <v>12</v>
      </c>
      <c r="I14">
        <v>0</v>
      </c>
      <c r="J14">
        <v>0</v>
      </c>
      <c r="K14">
        <v>0</v>
      </c>
      <c r="L14">
        <v>0</v>
      </c>
      <c r="M14">
        <v>0</v>
      </c>
      <c r="N14">
        <v>9</v>
      </c>
      <c r="O14">
        <v>8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2</v>
      </c>
      <c r="Y14">
        <v>1</v>
      </c>
      <c r="Z14">
        <v>8</v>
      </c>
      <c r="AA14">
        <v>6</v>
      </c>
      <c r="AB14">
        <v>2</v>
      </c>
      <c r="AC14">
        <v>4</v>
      </c>
      <c r="AD14">
        <v>1</v>
      </c>
      <c r="AE14">
        <v>1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0</v>
      </c>
      <c r="AL14">
        <v>0</v>
      </c>
      <c r="AM14">
        <v>1</v>
      </c>
      <c r="AN14">
        <v>1</v>
      </c>
      <c r="AO14">
        <v>8</v>
      </c>
      <c r="AP14">
        <v>6</v>
      </c>
      <c r="AQ14">
        <v>2</v>
      </c>
      <c r="AR14">
        <v>4</v>
      </c>
      <c r="AS14">
        <v>1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9</v>
      </c>
      <c r="BO14">
        <v>8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15</v>
      </c>
      <c r="CD14">
        <v>3</v>
      </c>
      <c r="CE14">
        <v>3</v>
      </c>
      <c r="CF14">
        <v>0</v>
      </c>
      <c r="CG14">
        <v>0</v>
      </c>
    </row>
    <row r="15" spans="1:85" x14ac:dyDescent="0.15">
      <c r="A15" t="s">
        <v>110</v>
      </c>
      <c r="B15" t="s">
        <v>112</v>
      </c>
      <c r="C15" t="s">
        <v>106</v>
      </c>
      <c r="D15" t="s">
        <v>111</v>
      </c>
      <c r="E15" t="s">
        <v>230</v>
      </c>
      <c r="F15">
        <v>99</v>
      </c>
      <c r="G15">
        <v>36</v>
      </c>
      <c r="H15">
        <v>20</v>
      </c>
      <c r="I15">
        <v>0</v>
      </c>
      <c r="J15">
        <v>0</v>
      </c>
      <c r="K15">
        <v>0</v>
      </c>
      <c r="L15">
        <v>0</v>
      </c>
      <c r="M15">
        <v>0</v>
      </c>
      <c r="N15">
        <v>16</v>
      </c>
      <c r="O15">
        <v>12</v>
      </c>
      <c r="P15">
        <v>2</v>
      </c>
      <c r="Q15">
        <v>0</v>
      </c>
      <c r="R15">
        <v>0</v>
      </c>
      <c r="S15">
        <v>0</v>
      </c>
      <c r="T15">
        <v>0</v>
      </c>
      <c r="U15">
        <v>0</v>
      </c>
      <c r="V15">
        <v>8</v>
      </c>
      <c r="W15">
        <v>4</v>
      </c>
      <c r="X15">
        <v>4</v>
      </c>
      <c r="Y15">
        <v>1</v>
      </c>
      <c r="Z15">
        <v>9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3</v>
      </c>
      <c r="AI15">
        <v>4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9</v>
      </c>
      <c r="AP15">
        <v>0</v>
      </c>
      <c r="AQ15">
        <v>0</v>
      </c>
      <c r="AR15">
        <v>0</v>
      </c>
      <c r="AS15">
        <v>0</v>
      </c>
      <c r="AT15">
        <v>3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16</v>
      </c>
      <c r="BO15">
        <v>12</v>
      </c>
      <c r="BP15">
        <v>2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9</v>
      </c>
      <c r="CE15">
        <v>6</v>
      </c>
      <c r="CF15">
        <v>2</v>
      </c>
      <c r="CG15">
        <v>2</v>
      </c>
    </row>
    <row r="16" spans="1:85" x14ac:dyDescent="0.15">
      <c r="A16" t="s">
        <v>103</v>
      </c>
      <c r="B16" t="s">
        <v>105</v>
      </c>
      <c r="C16" t="s">
        <v>106</v>
      </c>
      <c r="D16" t="s">
        <v>104</v>
      </c>
      <c r="E16" t="s">
        <v>230</v>
      </c>
      <c r="F16">
        <v>96</v>
      </c>
      <c r="G16">
        <v>67</v>
      </c>
      <c r="H16">
        <v>56</v>
      </c>
      <c r="I16">
        <v>0</v>
      </c>
      <c r="J16">
        <v>0</v>
      </c>
      <c r="K16">
        <v>1</v>
      </c>
      <c r="L16">
        <v>1</v>
      </c>
      <c r="M16">
        <v>0</v>
      </c>
      <c r="N16">
        <v>50</v>
      </c>
      <c r="O16">
        <v>46</v>
      </c>
      <c r="P16">
        <v>2</v>
      </c>
      <c r="Q16">
        <v>1</v>
      </c>
      <c r="R16">
        <v>0</v>
      </c>
      <c r="S16">
        <v>0</v>
      </c>
      <c r="T16">
        <v>1</v>
      </c>
      <c r="U16">
        <v>1</v>
      </c>
      <c r="V16">
        <v>5</v>
      </c>
      <c r="W16">
        <v>2</v>
      </c>
      <c r="X16">
        <v>2</v>
      </c>
      <c r="Y16">
        <v>1</v>
      </c>
      <c r="Z16">
        <v>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0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6</v>
      </c>
      <c r="AP16">
        <v>0</v>
      </c>
      <c r="AQ16">
        <v>0</v>
      </c>
      <c r="AR16">
        <v>0</v>
      </c>
      <c r="AS16">
        <v>0</v>
      </c>
      <c r="AT16">
        <v>2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1</v>
      </c>
      <c r="BG16">
        <v>1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50</v>
      </c>
      <c r="BO16">
        <v>46</v>
      </c>
      <c r="BP16">
        <v>2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3</v>
      </c>
      <c r="BZ16">
        <v>3</v>
      </c>
      <c r="CA16">
        <v>0</v>
      </c>
      <c r="CB16">
        <v>0</v>
      </c>
      <c r="CC16">
        <v>0</v>
      </c>
      <c r="CD16">
        <v>19</v>
      </c>
      <c r="CE16">
        <v>17</v>
      </c>
      <c r="CF16">
        <v>4</v>
      </c>
      <c r="CG16">
        <v>4</v>
      </c>
    </row>
  </sheetData>
  <mergeCells count="28">
    <mergeCell ref="BL1:BM1"/>
    <mergeCell ref="BR1:BS1"/>
    <mergeCell ref="CD1:CE1"/>
    <mergeCell ref="V1:W1"/>
    <mergeCell ref="BW1:BX1"/>
    <mergeCell ref="BN1:BO1"/>
    <mergeCell ref="BP1:BQ1"/>
    <mergeCell ref="BY1:BZ1"/>
    <mergeCell ref="AX1:AY1"/>
    <mergeCell ref="AG1:AH1"/>
    <mergeCell ref="AI1:AJ1"/>
    <mergeCell ref="AA1:AB1"/>
    <mergeCell ref="G1:H1"/>
    <mergeCell ref="AR1:AS1"/>
    <mergeCell ref="CB1:CC1"/>
    <mergeCell ref="R1:S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X1:Y1"/>
    <mergeCell ref="P1:Q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231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231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231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231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231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231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231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231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231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231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232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231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13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231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77</v>
      </c>
      <c r="B3" t="s">
        <v>79</v>
      </c>
      <c r="C3" t="s">
        <v>32</v>
      </c>
      <c r="D3" t="s">
        <v>30</v>
      </c>
      <c r="E3" t="s">
        <v>228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80</v>
      </c>
      <c r="B4" t="s">
        <v>82</v>
      </c>
      <c r="C4" t="s">
        <v>32</v>
      </c>
      <c r="D4" t="s">
        <v>37</v>
      </c>
      <c r="E4" t="s">
        <v>228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233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234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235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236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228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228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228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  <row r="12" spans="1:85" x14ac:dyDescent="0.15">
      <c r="A12" t="s">
        <v>110</v>
      </c>
      <c r="B12" t="s">
        <v>112</v>
      </c>
      <c r="C12" t="s">
        <v>106</v>
      </c>
      <c r="D12" t="s">
        <v>111</v>
      </c>
      <c r="E12" t="s">
        <v>231</v>
      </c>
      <c r="F12">
        <v>21</v>
      </c>
      <c r="G12">
        <v>3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1</v>
      </c>
      <c r="BO12">
        <v>0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</row>
    <row r="13" spans="1:85" x14ac:dyDescent="0.15">
      <c r="A13" t="s">
        <v>103</v>
      </c>
      <c r="B13" t="s">
        <v>105</v>
      </c>
      <c r="C13" t="s">
        <v>106</v>
      </c>
      <c r="D13" t="s">
        <v>104</v>
      </c>
      <c r="E13" t="s">
        <v>237</v>
      </c>
      <c r="F13">
        <v>96</v>
      </c>
      <c r="G13">
        <v>78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63</v>
      </c>
      <c r="O13">
        <v>49</v>
      </c>
      <c r="P13">
        <v>9</v>
      </c>
      <c r="Q13">
        <v>6</v>
      </c>
      <c r="R13">
        <v>1</v>
      </c>
      <c r="S13">
        <v>1</v>
      </c>
      <c r="T13">
        <v>0</v>
      </c>
      <c r="U13">
        <v>0</v>
      </c>
      <c r="V13">
        <v>10</v>
      </c>
      <c r="W13">
        <v>8</v>
      </c>
      <c r="X13">
        <v>3</v>
      </c>
      <c r="Y13">
        <v>3</v>
      </c>
      <c r="Z13">
        <v>4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6</v>
      </c>
      <c r="AH13">
        <v>4</v>
      </c>
      <c r="AI13">
        <v>3</v>
      </c>
      <c r="AJ13">
        <v>3</v>
      </c>
      <c r="AK13">
        <v>0</v>
      </c>
      <c r="AL13">
        <v>0</v>
      </c>
      <c r="AM13">
        <v>0</v>
      </c>
      <c r="AN13">
        <v>0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3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1</v>
      </c>
      <c r="BF13">
        <v>0</v>
      </c>
      <c r="BG13">
        <v>0</v>
      </c>
      <c r="BH13">
        <v>1</v>
      </c>
      <c r="BI13">
        <v>1</v>
      </c>
      <c r="BJ13">
        <v>0</v>
      </c>
      <c r="BK13">
        <v>0</v>
      </c>
      <c r="BL13">
        <v>0</v>
      </c>
      <c r="BM13">
        <v>1</v>
      </c>
      <c r="BN13">
        <v>63</v>
      </c>
      <c r="BO13">
        <v>49</v>
      </c>
      <c r="BP13">
        <v>9</v>
      </c>
      <c r="BQ13">
        <v>6</v>
      </c>
      <c r="BR13">
        <v>0</v>
      </c>
      <c r="BS13">
        <v>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11</v>
      </c>
      <c r="BZ13">
        <v>5</v>
      </c>
      <c r="CA13">
        <v>0</v>
      </c>
      <c r="CB13">
        <v>0</v>
      </c>
      <c r="CC13">
        <v>0</v>
      </c>
      <c r="CD13">
        <v>30</v>
      </c>
      <c r="CE13">
        <v>19</v>
      </c>
      <c r="CF13">
        <v>0</v>
      </c>
      <c r="CG13">
        <v>0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G16"/>
  <sheetViews>
    <sheetView zoomScale="75" workbookViewId="0">
      <selection activeCell="C8" sqref="C8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229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229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229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229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229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229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229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229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229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238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229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229</v>
      </c>
      <c r="F14">
        <v>102</v>
      </c>
      <c r="G14">
        <v>72</v>
      </c>
      <c r="H14">
        <v>48</v>
      </c>
      <c r="I14">
        <v>0</v>
      </c>
      <c r="J14">
        <v>0</v>
      </c>
      <c r="K14">
        <v>0</v>
      </c>
      <c r="L14">
        <v>0</v>
      </c>
      <c r="M14">
        <v>0</v>
      </c>
      <c r="N14">
        <v>56</v>
      </c>
      <c r="O14">
        <v>43</v>
      </c>
      <c r="P14">
        <v>2</v>
      </c>
      <c r="Q14">
        <v>1</v>
      </c>
      <c r="R14">
        <v>2</v>
      </c>
      <c r="S14">
        <v>0</v>
      </c>
      <c r="T14">
        <v>0</v>
      </c>
      <c r="U14">
        <v>0</v>
      </c>
      <c r="V14">
        <v>9</v>
      </c>
      <c r="W14">
        <v>5</v>
      </c>
      <c r="X14">
        <v>5</v>
      </c>
      <c r="Y14">
        <v>5</v>
      </c>
      <c r="Z14">
        <v>6</v>
      </c>
      <c r="AA14">
        <v>7</v>
      </c>
      <c r="AB14">
        <v>4</v>
      </c>
      <c r="AC14">
        <v>8</v>
      </c>
      <c r="AD14">
        <v>3</v>
      </c>
      <c r="AE14">
        <v>0</v>
      </c>
      <c r="AF14">
        <v>1</v>
      </c>
      <c r="AG14">
        <v>2</v>
      </c>
      <c r="AH14">
        <v>0</v>
      </c>
      <c r="AI14">
        <v>5</v>
      </c>
      <c r="AJ14">
        <v>5</v>
      </c>
      <c r="AK14">
        <v>1</v>
      </c>
      <c r="AL14">
        <v>0</v>
      </c>
      <c r="AM14">
        <v>0</v>
      </c>
      <c r="AN14">
        <v>0</v>
      </c>
      <c r="AO14">
        <v>6</v>
      </c>
      <c r="AP14">
        <v>7</v>
      </c>
      <c r="AQ14">
        <v>4</v>
      </c>
      <c r="AR14">
        <v>8</v>
      </c>
      <c r="AS14">
        <v>3</v>
      </c>
      <c r="AT14">
        <v>0</v>
      </c>
      <c r="AU14">
        <v>1</v>
      </c>
      <c r="AV14">
        <v>0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56</v>
      </c>
      <c r="BO14">
        <v>43</v>
      </c>
      <c r="BP14">
        <v>2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9</v>
      </c>
      <c r="BZ14">
        <v>7</v>
      </c>
      <c r="CA14">
        <v>0</v>
      </c>
      <c r="CB14">
        <v>0</v>
      </c>
      <c r="CC14">
        <v>43</v>
      </c>
      <c r="CD14">
        <v>27</v>
      </c>
      <c r="CE14">
        <v>20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237</v>
      </c>
      <c r="F15">
        <v>106</v>
      </c>
      <c r="G15">
        <v>35</v>
      </c>
      <c r="H15">
        <v>27</v>
      </c>
      <c r="I15">
        <v>1</v>
      </c>
      <c r="J15">
        <v>0</v>
      </c>
      <c r="K15">
        <v>1</v>
      </c>
      <c r="L15">
        <v>1</v>
      </c>
      <c r="M15">
        <v>0.11</v>
      </c>
      <c r="N15">
        <v>21</v>
      </c>
      <c r="O15">
        <v>17</v>
      </c>
      <c r="P15">
        <v>6</v>
      </c>
      <c r="Q15">
        <v>4</v>
      </c>
      <c r="R15">
        <v>0</v>
      </c>
      <c r="S15">
        <v>0</v>
      </c>
      <c r="T15">
        <v>0</v>
      </c>
      <c r="U15">
        <v>0</v>
      </c>
      <c r="V15">
        <v>7</v>
      </c>
      <c r="W15">
        <v>6</v>
      </c>
      <c r="X15">
        <v>1</v>
      </c>
      <c r="Y15">
        <v>1</v>
      </c>
      <c r="Z15">
        <v>1</v>
      </c>
      <c r="AA15">
        <v>8</v>
      </c>
      <c r="AB15">
        <v>4</v>
      </c>
      <c r="AC15">
        <v>10</v>
      </c>
      <c r="AD15">
        <v>3</v>
      </c>
      <c r="AE15">
        <v>0</v>
      </c>
      <c r="AF15">
        <v>0</v>
      </c>
      <c r="AG15">
        <v>4</v>
      </c>
      <c r="AH15">
        <v>3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8</v>
      </c>
      <c r="AQ15">
        <v>4</v>
      </c>
      <c r="AR15">
        <v>10</v>
      </c>
      <c r="AS15">
        <v>3</v>
      </c>
      <c r="AT15">
        <v>0</v>
      </c>
      <c r="AU15">
        <v>1</v>
      </c>
      <c r="AV15">
        <v>0</v>
      </c>
      <c r="AW15">
        <v>0</v>
      </c>
      <c r="AX15">
        <v>1</v>
      </c>
      <c r="AY15">
        <v>0</v>
      </c>
      <c r="AZ15">
        <v>1</v>
      </c>
      <c r="BA15">
        <v>1</v>
      </c>
      <c r="BB15">
        <v>0.11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</v>
      </c>
      <c r="BI15">
        <v>2</v>
      </c>
      <c r="BJ15">
        <v>1</v>
      </c>
      <c r="BK15">
        <v>0</v>
      </c>
      <c r="BL15">
        <v>0</v>
      </c>
      <c r="BM15">
        <v>3</v>
      </c>
      <c r="BN15">
        <v>21</v>
      </c>
      <c r="BO15">
        <v>17</v>
      </c>
      <c r="BP15">
        <v>6</v>
      </c>
      <c r="BQ15">
        <v>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4</v>
      </c>
      <c r="BZ15">
        <v>2</v>
      </c>
      <c r="CA15">
        <v>0</v>
      </c>
      <c r="CB15">
        <v>0</v>
      </c>
      <c r="CC15">
        <v>17</v>
      </c>
      <c r="CD15">
        <v>13</v>
      </c>
      <c r="CE15">
        <v>11</v>
      </c>
      <c r="CF15">
        <v>2</v>
      </c>
      <c r="CG15">
        <v>2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237</v>
      </c>
      <c r="F16">
        <v>74</v>
      </c>
      <c r="G16">
        <v>39</v>
      </c>
      <c r="H16">
        <v>18</v>
      </c>
      <c r="I16">
        <v>0</v>
      </c>
      <c r="J16">
        <v>0</v>
      </c>
      <c r="K16">
        <v>0</v>
      </c>
      <c r="L16">
        <v>0</v>
      </c>
      <c r="M16">
        <v>0</v>
      </c>
      <c r="N16">
        <v>18</v>
      </c>
      <c r="O16">
        <v>11</v>
      </c>
      <c r="P16">
        <v>5</v>
      </c>
      <c r="Q16">
        <v>2</v>
      </c>
      <c r="R16">
        <v>0</v>
      </c>
      <c r="S16">
        <v>0</v>
      </c>
      <c r="T16">
        <v>0</v>
      </c>
      <c r="U16">
        <v>0</v>
      </c>
      <c r="V16">
        <v>13</v>
      </c>
      <c r="W16">
        <v>6</v>
      </c>
      <c r="X16">
        <v>6</v>
      </c>
      <c r="Y16">
        <v>4</v>
      </c>
      <c r="Z16">
        <v>3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1</v>
      </c>
      <c r="AG16">
        <v>5</v>
      </c>
      <c r="AH16">
        <v>1</v>
      </c>
      <c r="AI16">
        <v>6</v>
      </c>
      <c r="AJ16">
        <v>4</v>
      </c>
      <c r="AK16">
        <v>2</v>
      </c>
      <c r="AL16">
        <v>1</v>
      </c>
      <c r="AM16">
        <v>0</v>
      </c>
      <c r="AN16">
        <v>0</v>
      </c>
      <c r="AO16">
        <v>3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5</v>
      </c>
      <c r="AV16">
        <v>1</v>
      </c>
      <c r="AW16">
        <v>1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1</v>
      </c>
      <c r="BN16">
        <v>18</v>
      </c>
      <c r="BO16">
        <v>11</v>
      </c>
      <c r="BP16">
        <v>5</v>
      </c>
      <c r="BQ16">
        <v>2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2</v>
      </c>
      <c r="BZ16">
        <v>1</v>
      </c>
      <c r="CA16">
        <v>0</v>
      </c>
      <c r="CB16">
        <v>0</v>
      </c>
      <c r="CC16">
        <v>0</v>
      </c>
      <c r="CD16">
        <v>10</v>
      </c>
      <c r="CE16">
        <v>5</v>
      </c>
      <c r="CF16">
        <v>1</v>
      </c>
      <c r="CG16">
        <v>1</v>
      </c>
    </row>
  </sheetData>
  <mergeCells count="28"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T1:U1"/>
    <mergeCell ref="AK1:AL1"/>
    <mergeCell ref="BD1:BE1"/>
    <mergeCell ref="AC1:AD1"/>
    <mergeCell ref="X1:Y1"/>
    <mergeCell ref="P1:Q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G17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t="s">
        <v>214</v>
      </c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239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239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239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239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239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239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240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241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241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241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242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239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239</v>
      </c>
      <c r="F14">
        <v>102</v>
      </c>
      <c r="G14">
        <v>50</v>
      </c>
      <c r="H14">
        <v>34</v>
      </c>
      <c r="I14">
        <v>0</v>
      </c>
      <c r="J14">
        <v>0</v>
      </c>
      <c r="K14">
        <v>0</v>
      </c>
      <c r="L14">
        <v>0</v>
      </c>
      <c r="M14">
        <v>0.03</v>
      </c>
      <c r="N14">
        <v>33</v>
      </c>
      <c r="O14">
        <v>29</v>
      </c>
      <c r="P14">
        <v>2</v>
      </c>
      <c r="Q14">
        <v>2</v>
      </c>
      <c r="R14">
        <v>3</v>
      </c>
      <c r="S14">
        <v>3</v>
      </c>
      <c r="T14">
        <v>0</v>
      </c>
      <c r="U14">
        <v>0</v>
      </c>
      <c r="V14">
        <v>11</v>
      </c>
      <c r="W14">
        <v>5</v>
      </c>
      <c r="X14">
        <v>1</v>
      </c>
      <c r="Y14">
        <v>1</v>
      </c>
      <c r="Z14">
        <v>3</v>
      </c>
      <c r="AA14">
        <v>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6</v>
      </c>
      <c r="AH14">
        <v>2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7</v>
      </c>
      <c r="AQ14">
        <v>1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0.03</v>
      </c>
      <c r="BC14">
        <v>0</v>
      </c>
      <c r="BD14">
        <v>3</v>
      </c>
      <c r="BE14">
        <v>3</v>
      </c>
      <c r="BF14">
        <v>0</v>
      </c>
      <c r="BG14">
        <v>0</v>
      </c>
      <c r="BH14">
        <v>4</v>
      </c>
      <c r="BI14">
        <v>2</v>
      </c>
      <c r="BJ14">
        <v>0</v>
      </c>
      <c r="BK14">
        <v>1</v>
      </c>
      <c r="BL14">
        <v>0</v>
      </c>
      <c r="BM14">
        <v>2</v>
      </c>
      <c r="BN14">
        <v>33</v>
      </c>
      <c r="BO14">
        <v>29</v>
      </c>
      <c r="BP14">
        <v>2</v>
      </c>
      <c r="BQ14">
        <v>2</v>
      </c>
      <c r="BR14">
        <v>0</v>
      </c>
      <c r="BS14">
        <v>0</v>
      </c>
      <c r="BT14">
        <v>3</v>
      </c>
      <c r="BU14">
        <v>3</v>
      </c>
      <c r="BV14">
        <v>0</v>
      </c>
      <c r="BW14">
        <v>0.03</v>
      </c>
      <c r="BX14">
        <v>0</v>
      </c>
      <c r="BY14">
        <v>2</v>
      </c>
      <c r="BZ14">
        <v>1</v>
      </c>
      <c r="CA14">
        <v>0</v>
      </c>
      <c r="CB14">
        <v>0</v>
      </c>
      <c r="CC14">
        <v>29</v>
      </c>
      <c r="CD14">
        <v>7</v>
      </c>
      <c r="CE14">
        <v>4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239</v>
      </c>
      <c r="F15">
        <v>106</v>
      </c>
      <c r="G15">
        <v>28</v>
      </c>
      <c r="H15">
        <v>10</v>
      </c>
      <c r="I15">
        <v>0</v>
      </c>
      <c r="J15">
        <v>0</v>
      </c>
      <c r="K15">
        <v>0</v>
      </c>
      <c r="L15">
        <v>0</v>
      </c>
      <c r="M15">
        <v>0</v>
      </c>
      <c r="N15">
        <v>15</v>
      </c>
      <c r="O15">
        <v>7</v>
      </c>
      <c r="P15">
        <v>3</v>
      </c>
      <c r="Q15">
        <v>1</v>
      </c>
      <c r="R15">
        <v>2</v>
      </c>
      <c r="S15">
        <v>2</v>
      </c>
      <c r="T15">
        <v>0</v>
      </c>
      <c r="U15">
        <v>0</v>
      </c>
      <c r="V15">
        <v>7</v>
      </c>
      <c r="W15">
        <v>2</v>
      </c>
      <c r="X15">
        <v>0</v>
      </c>
      <c r="Y15">
        <v>0</v>
      </c>
      <c r="Z15">
        <v>5</v>
      </c>
      <c r="AA15">
        <v>2</v>
      </c>
      <c r="AB15">
        <v>0</v>
      </c>
      <c r="AC15">
        <v>2</v>
      </c>
      <c r="AD15">
        <v>1</v>
      </c>
      <c r="AE15">
        <v>1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5</v>
      </c>
      <c r="AP15">
        <v>2</v>
      </c>
      <c r="AQ15">
        <v>0</v>
      </c>
      <c r="AR15">
        <v>2</v>
      </c>
      <c r="AS15">
        <v>1</v>
      </c>
      <c r="AT15">
        <v>0</v>
      </c>
      <c r="AU15">
        <v>3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2</v>
      </c>
      <c r="BE15">
        <v>2</v>
      </c>
      <c r="BF15">
        <v>0</v>
      </c>
      <c r="BG15">
        <v>0</v>
      </c>
      <c r="BH15">
        <v>3</v>
      </c>
      <c r="BI15">
        <v>2</v>
      </c>
      <c r="BJ15">
        <v>0</v>
      </c>
      <c r="BK15">
        <v>0</v>
      </c>
      <c r="BL15">
        <v>0</v>
      </c>
      <c r="BM15">
        <v>1</v>
      </c>
      <c r="BN15">
        <v>15</v>
      </c>
      <c r="BO15">
        <v>7</v>
      </c>
      <c r="BP15">
        <v>3</v>
      </c>
      <c r="BQ15">
        <v>1</v>
      </c>
      <c r="BR15">
        <v>0</v>
      </c>
      <c r="BS15">
        <v>0</v>
      </c>
      <c r="BT15">
        <v>2</v>
      </c>
      <c r="BU15">
        <v>2</v>
      </c>
      <c r="BV15">
        <v>0</v>
      </c>
      <c r="BW15">
        <v>0</v>
      </c>
      <c r="BX15">
        <v>0</v>
      </c>
      <c r="BY15">
        <v>3</v>
      </c>
      <c r="BZ15">
        <v>1</v>
      </c>
      <c r="CA15">
        <v>0</v>
      </c>
      <c r="CB15">
        <v>0</v>
      </c>
      <c r="CC15">
        <v>17</v>
      </c>
      <c r="CD15">
        <v>7</v>
      </c>
      <c r="CE15">
        <v>3</v>
      </c>
      <c r="CF15">
        <v>2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239</v>
      </c>
      <c r="F16">
        <v>99</v>
      </c>
      <c r="G16">
        <v>39</v>
      </c>
      <c r="H16">
        <v>18</v>
      </c>
      <c r="I16">
        <v>0</v>
      </c>
      <c r="J16">
        <v>0</v>
      </c>
      <c r="K16">
        <v>2</v>
      </c>
      <c r="L16">
        <v>1</v>
      </c>
      <c r="M16">
        <v>0</v>
      </c>
      <c r="N16">
        <v>15</v>
      </c>
      <c r="O16">
        <v>12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11</v>
      </c>
      <c r="W16">
        <v>4</v>
      </c>
      <c r="X16">
        <v>3</v>
      </c>
      <c r="Y16">
        <v>1</v>
      </c>
      <c r="Z16">
        <v>5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4</v>
      </c>
      <c r="AH16">
        <v>2</v>
      </c>
      <c r="AI16">
        <v>3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5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2</v>
      </c>
      <c r="AV16">
        <v>0</v>
      </c>
      <c r="AW16">
        <v>0</v>
      </c>
      <c r="AX16">
        <v>0</v>
      </c>
      <c r="AY16">
        <v>0</v>
      </c>
      <c r="AZ16">
        <v>2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15</v>
      </c>
      <c r="BO16">
        <v>12</v>
      </c>
      <c r="BP16">
        <v>1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3</v>
      </c>
      <c r="CE16">
        <v>1</v>
      </c>
      <c r="CF16">
        <v>4</v>
      </c>
      <c r="CG16">
        <v>4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239</v>
      </c>
      <c r="F17">
        <v>96</v>
      </c>
      <c r="G17">
        <v>45</v>
      </c>
      <c r="H17">
        <v>30</v>
      </c>
      <c r="I17">
        <v>0</v>
      </c>
      <c r="J17">
        <v>0</v>
      </c>
      <c r="K17">
        <v>0</v>
      </c>
      <c r="L17">
        <v>0</v>
      </c>
      <c r="M17">
        <v>0</v>
      </c>
      <c r="N17">
        <v>30</v>
      </c>
      <c r="O17">
        <v>25</v>
      </c>
      <c r="P17">
        <v>6</v>
      </c>
      <c r="Q17">
        <v>4</v>
      </c>
      <c r="R17">
        <v>4</v>
      </c>
      <c r="S17">
        <v>0</v>
      </c>
      <c r="T17">
        <v>0</v>
      </c>
      <c r="U17">
        <v>0</v>
      </c>
      <c r="V17">
        <v>10</v>
      </c>
      <c r="W17">
        <v>5</v>
      </c>
      <c r="X17">
        <v>1</v>
      </c>
      <c r="Y17">
        <v>0</v>
      </c>
      <c r="Z17">
        <v>5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7</v>
      </c>
      <c r="AH17">
        <v>4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5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1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4</v>
      </c>
      <c r="BE17">
        <v>0</v>
      </c>
      <c r="BF17">
        <v>0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30</v>
      </c>
      <c r="BO17">
        <v>25</v>
      </c>
      <c r="BP17">
        <v>6</v>
      </c>
      <c r="BQ17">
        <v>4</v>
      </c>
      <c r="BR17">
        <v>0</v>
      </c>
      <c r="BS17">
        <v>0</v>
      </c>
      <c r="BT17">
        <v>4</v>
      </c>
      <c r="BU17">
        <v>0</v>
      </c>
      <c r="BV17">
        <v>0</v>
      </c>
      <c r="BW17">
        <v>0</v>
      </c>
      <c r="BX17">
        <v>0</v>
      </c>
      <c r="BY17">
        <v>3</v>
      </c>
      <c r="BZ17">
        <v>3</v>
      </c>
      <c r="CA17">
        <v>0</v>
      </c>
      <c r="CB17">
        <v>0</v>
      </c>
      <c r="CC17">
        <v>0</v>
      </c>
      <c r="CD17">
        <v>9</v>
      </c>
      <c r="CE17">
        <v>8</v>
      </c>
      <c r="CF17">
        <v>2</v>
      </c>
      <c r="CG17">
        <v>2</v>
      </c>
    </row>
  </sheetData>
  <mergeCells count="27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243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235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36</v>
      </c>
      <c r="B4" t="s">
        <v>38</v>
      </c>
      <c r="C4" t="s">
        <v>32</v>
      </c>
      <c r="D4" t="s">
        <v>53</v>
      </c>
      <c r="E4" t="s">
        <v>243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42</v>
      </c>
      <c r="B5" t="s">
        <v>44</v>
      </c>
      <c r="C5" t="s">
        <v>32</v>
      </c>
      <c r="D5" t="s">
        <v>59</v>
      </c>
      <c r="E5" t="s">
        <v>244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G17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235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245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244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244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246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247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42</v>
      </c>
      <c r="B8" t="s">
        <v>44</v>
      </c>
      <c r="C8" t="s">
        <v>32</v>
      </c>
      <c r="D8" t="s">
        <v>59</v>
      </c>
      <c r="E8" t="s">
        <v>244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244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243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244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246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244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244</v>
      </c>
      <c r="F14">
        <v>102</v>
      </c>
      <c r="G14">
        <v>86</v>
      </c>
      <c r="H14">
        <v>66</v>
      </c>
      <c r="I14">
        <v>0</v>
      </c>
      <c r="J14">
        <v>0</v>
      </c>
      <c r="K14">
        <v>3</v>
      </c>
      <c r="L14">
        <v>1</v>
      </c>
      <c r="M14">
        <v>0.09</v>
      </c>
      <c r="N14">
        <v>64</v>
      </c>
      <c r="O14">
        <v>56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14</v>
      </c>
      <c r="W14">
        <v>8</v>
      </c>
      <c r="X14">
        <v>2</v>
      </c>
      <c r="Y14">
        <v>1</v>
      </c>
      <c r="Z14">
        <v>2</v>
      </c>
      <c r="AA14">
        <v>6</v>
      </c>
      <c r="AB14">
        <v>4</v>
      </c>
      <c r="AC14">
        <v>11</v>
      </c>
      <c r="AD14">
        <v>6</v>
      </c>
      <c r="AE14">
        <v>1</v>
      </c>
      <c r="AF14">
        <v>0</v>
      </c>
      <c r="AG14">
        <v>11</v>
      </c>
      <c r="AH14">
        <v>6</v>
      </c>
      <c r="AI14">
        <v>2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2</v>
      </c>
      <c r="AP14">
        <v>6</v>
      </c>
      <c r="AQ14">
        <v>4</v>
      </c>
      <c r="AR14">
        <v>11</v>
      </c>
      <c r="AS14">
        <v>6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3</v>
      </c>
      <c r="BA14">
        <v>1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0</v>
      </c>
      <c r="BK14">
        <v>0</v>
      </c>
      <c r="BL14">
        <v>0</v>
      </c>
      <c r="BM14">
        <v>1</v>
      </c>
      <c r="BN14">
        <v>64</v>
      </c>
      <c r="BO14">
        <v>56</v>
      </c>
      <c r="BP14">
        <v>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7</v>
      </c>
      <c r="BZ14">
        <v>5</v>
      </c>
      <c r="CA14">
        <v>0</v>
      </c>
      <c r="CB14">
        <v>0</v>
      </c>
      <c r="CC14">
        <v>46</v>
      </c>
      <c r="CD14">
        <v>18</v>
      </c>
      <c r="CE14">
        <v>14</v>
      </c>
      <c r="CF14">
        <v>8</v>
      </c>
      <c r="CG14">
        <v>8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243</v>
      </c>
      <c r="F15">
        <v>106</v>
      </c>
      <c r="G15">
        <v>43</v>
      </c>
      <c r="H15">
        <v>23</v>
      </c>
      <c r="I15">
        <v>0</v>
      </c>
      <c r="J15">
        <v>0</v>
      </c>
      <c r="K15">
        <v>1</v>
      </c>
      <c r="L15">
        <v>1</v>
      </c>
      <c r="M15">
        <v>0.15</v>
      </c>
      <c r="N15">
        <v>19</v>
      </c>
      <c r="O15">
        <v>14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15</v>
      </c>
      <c r="W15">
        <v>8</v>
      </c>
      <c r="X15">
        <v>1</v>
      </c>
      <c r="Y15">
        <v>1</v>
      </c>
      <c r="Z15">
        <v>6</v>
      </c>
      <c r="AA15">
        <v>3</v>
      </c>
      <c r="AB15">
        <v>0</v>
      </c>
      <c r="AC15">
        <v>5</v>
      </c>
      <c r="AD15">
        <v>3</v>
      </c>
      <c r="AE15">
        <v>3</v>
      </c>
      <c r="AF15">
        <v>0</v>
      </c>
      <c r="AG15">
        <v>11</v>
      </c>
      <c r="AH15">
        <v>4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6</v>
      </c>
      <c r="AP15">
        <v>3</v>
      </c>
      <c r="AQ15">
        <v>0</v>
      </c>
      <c r="AR15">
        <v>5</v>
      </c>
      <c r="AS15">
        <v>3</v>
      </c>
      <c r="AT15">
        <v>0</v>
      </c>
      <c r="AU15">
        <v>3</v>
      </c>
      <c r="AV15">
        <v>3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0.15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</v>
      </c>
      <c r="BI15">
        <v>3</v>
      </c>
      <c r="BJ15">
        <v>0</v>
      </c>
      <c r="BK15">
        <v>0</v>
      </c>
      <c r="BL15">
        <v>0</v>
      </c>
      <c r="BM15">
        <v>3</v>
      </c>
      <c r="BN15">
        <v>19</v>
      </c>
      <c r="BO15">
        <v>14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0</v>
      </c>
      <c r="CB15">
        <v>0</v>
      </c>
      <c r="CC15">
        <v>28</v>
      </c>
      <c r="CD15">
        <v>8</v>
      </c>
      <c r="CE15">
        <v>5</v>
      </c>
      <c r="CF15">
        <v>6</v>
      </c>
      <c r="CG15">
        <v>5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243</v>
      </c>
      <c r="F16">
        <v>99</v>
      </c>
      <c r="G16">
        <v>35</v>
      </c>
      <c r="H16">
        <v>22</v>
      </c>
      <c r="I16">
        <v>0</v>
      </c>
      <c r="J16">
        <v>0</v>
      </c>
      <c r="K16">
        <v>0</v>
      </c>
      <c r="L16">
        <v>0</v>
      </c>
      <c r="M16">
        <v>0</v>
      </c>
      <c r="N16">
        <v>19</v>
      </c>
      <c r="O16">
        <v>14</v>
      </c>
      <c r="P16">
        <v>3</v>
      </c>
      <c r="Q16">
        <v>1</v>
      </c>
      <c r="R16">
        <v>1</v>
      </c>
      <c r="S16">
        <v>1</v>
      </c>
      <c r="T16">
        <v>0</v>
      </c>
      <c r="U16">
        <v>0</v>
      </c>
      <c r="V16">
        <v>12</v>
      </c>
      <c r="W16">
        <v>7</v>
      </c>
      <c r="X16">
        <v>0</v>
      </c>
      <c r="Y16">
        <v>0</v>
      </c>
      <c r="Z16">
        <v>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8</v>
      </c>
      <c r="AH16">
        <v>4</v>
      </c>
      <c r="AI16">
        <v>0</v>
      </c>
      <c r="AJ16">
        <v>0</v>
      </c>
      <c r="AK16">
        <v>1</v>
      </c>
      <c r="AL16">
        <v>0</v>
      </c>
      <c r="AM16">
        <v>0</v>
      </c>
      <c r="AN16">
        <v>0</v>
      </c>
      <c r="AO16">
        <v>2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3</v>
      </c>
      <c r="BI16">
        <v>3</v>
      </c>
      <c r="BJ16">
        <v>0</v>
      </c>
      <c r="BK16">
        <v>0</v>
      </c>
      <c r="BL16">
        <v>0</v>
      </c>
      <c r="BM16">
        <v>1</v>
      </c>
      <c r="BN16">
        <v>19</v>
      </c>
      <c r="BO16">
        <v>14</v>
      </c>
      <c r="BP16">
        <v>3</v>
      </c>
      <c r="BQ16">
        <v>1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4</v>
      </c>
      <c r="BZ16">
        <v>1</v>
      </c>
      <c r="CA16">
        <v>0</v>
      </c>
      <c r="CB16">
        <v>0</v>
      </c>
      <c r="CC16">
        <v>0</v>
      </c>
      <c r="CD16">
        <v>9</v>
      </c>
      <c r="CE16">
        <v>5</v>
      </c>
      <c r="CF16">
        <v>3</v>
      </c>
      <c r="CG16">
        <v>3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244</v>
      </c>
      <c r="F17">
        <v>96</v>
      </c>
      <c r="G17">
        <v>78</v>
      </c>
      <c r="H17">
        <v>67</v>
      </c>
      <c r="I17">
        <v>0</v>
      </c>
      <c r="J17">
        <v>1</v>
      </c>
      <c r="K17">
        <v>0</v>
      </c>
      <c r="L17">
        <v>0</v>
      </c>
      <c r="M17">
        <v>0</v>
      </c>
      <c r="N17">
        <v>61</v>
      </c>
      <c r="O17">
        <v>53</v>
      </c>
      <c r="P17">
        <v>7</v>
      </c>
      <c r="Q17">
        <v>4</v>
      </c>
      <c r="R17">
        <v>2</v>
      </c>
      <c r="S17">
        <v>1</v>
      </c>
      <c r="T17">
        <v>0</v>
      </c>
      <c r="U17">
        <v>0</v>
      </c>
      <c r="V17">
        <v>10</v>
      </c>
      <c r="W17">
        <v>10</v>
      </c>
      <c r="X17">
        <v>1</v>
      </c>
      <c r="Y17">
        <v>1</v>
      </c>
      <c r="Z17">
        <v>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</v>
      </c>
      <c r="AH17">
        <v>8</v>
      </c>
      <c r="AI17">
        <v>1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0</v>
      </c>
      <c r="AQ17">
        <v>0</v>
      </c>
      <c r="AR17">
        <v>0</v>
      </c>
      <c r="AS17">
        <v>0</v>
      </c>
      <c r="AT17">
        <v>3</v>
      </c>
      <c r="AU17">
        <v>0</v>
      </c>
      <c r="AV17">
        <v>0</v>
      </c>
      <c r="AW17">
        <v>0</v>
      </c>
      <c r="AX17">
        <v>0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2</v>
      </c>
      <c r="BE17">
        <v>1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61</v>
      </c>
      <c r="BO17">
        <v>53</v>
      </c>
      <c r="BP17">
        <v>7</v>
      </c>
      <c r="BQ17">
        <v>4</v>
      </c>
      <c r="BR17">
        <v>0</v>
      </c>
      <c r="BS17">
        <v>0</v>
      </c>
      <c r="BT17">
        <v>2</v>
      </c>
      <c r="BU17">
        <v>1</v>
      </c>
      <c r="BV17">
        <v>1</v>
      </c>
      <c r="BW17">
        <v>0</v>
      </c>
      <c r="BX17">
        <v>0</v>
      </c>
      <c r="BY17">
        <v>9</v>
      </c>
      <c r="BZ17">
        <v>7</v>
      </c>
      <c r="CA17">
        <v>0</v>
      </c>
      <c r="CB17">
        <v>0</v>
      </c>
      <c r="CC17">
        <v>0</v>
      </c>
      <c r="CD17">
        <v>16</v>
      </c>
      <c r="CE17">
        <v>14</v>
      </c>
      <c r="CF17">
        <v>10</v>
      </c>
      <c r="CG17">
        <v>10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N18"/>
  <sheetViews>
    <sheetView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  <c r="CH1" s="5"/>
      <c r="CI1" s="5"/>
      <c r="CK1" s="5"/>
      <c r="CL1" s="5"/>
      <c r="CM1" s="5"/>
      <c r="CN1" s="5"/>
    </row>
    <row r="2" spans="1:92" x14ac:dyDescent="0.15">
      <c r="A2" t="s">
        <v>96</v>
      </c>
      <c r="B2" t="s">
        <v>92</v>
      </c>
      <c r="C2" t="s">
        <v>32</v>
      </c>
      <c r="D2" t="s">
        <v>91</v>
      </c>
      <c r="E2" t="s">
        <v>248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90</v>
      </c>
      <c r="B3" t="s">
        <v>98</v>
      </c>
      <c r="C3" t="s">
        <v>32</v>
      </c>
      <c r="D3" t="s">
        <v>97</v>
      </c>
      <c r="E3" t="s">
        <v>249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77</v>
      </c>
      <c r="B4" t="s">
        <v>79</v>
      </c>
      <c r="C4" t="s">
        <v>32</v>
      </c>
      <c r="D4" t="s">
        <v>30</v>
      </c>
      <c r="E4" t="s">
        <v>235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80</v>
      </c>
      <c r="B5" t="s">
        <v>82</v>
      </c>
      <c r="C5" t="s">
        <v>32</v>
      </c>
      <c r="D5" t="s">
        <v>37</v>
      </c>
      <c r="E5" t="s">
        <v>250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86</v>
      </c>
      <c r="B6" t="s">
        <v>88</v>
      </c>
      <c r="C6" t="s">
        <v>32</v>
      </c>
      <c r="D6" t="s">
        <v>43</v>
      </c>
      <c r="E6" t="s">
        <v>235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29</v>
      </c>
      <c r="B7" t="s">
        <v>31</v>
      </c>
      <c r="C7" t="s">
        <v>32</v>
      </c>
      <c r="D7" t="s">
        <v>47</v>
      </c>
      <c r="E7" t="s">
        <v>251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42</v>
      </c>
      <c r="B8" t="s">
        <v>44</v>
      </c>
      <c r="C8" t="s">
        <v>32</v>
      </c>
      <c r="D8" t="s">
        <v>59</v>
      </c>
      <c r="E8" t="s">
        <v>235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46</v>
      </c>
      <c r="B9" t="s">
        <v>48</v>
      </c>
      <c r="C9" t="s">
        <v>32</v>
      </c>
      <c r="D9" t="s">
        <v>65</v>
      </c>
      <c r="E9" t="s">
        <v>244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52</v>
      </c>
      <c r="B10" t="s">
        <v>54</v>
      </c>
      <c r="C10" t="s">
        <v>32</v>
      </c>
      <c r="D10" t="s">
        <v>70</v>
      </c>
      <c r="E10" t="s">
        <v>252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58</v>
      </c>
      <c r="B11" t="s">
        <v>60</v>
      </c>
      <c r="C11" t="s">
        <v>32</v>
      </c>
      <c r="D11" t="s">
        <v>74</v>
      </c>
      <c r="E11" t="s">
        <v>253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64</v>
      </c>
      <c r="B12" t="s">
        <v>66</v>
      </c>
      <c r="C12" t="s">
        <v>32</v>
      </c>
      <c r="D12" t="s">
        <v>78</v>
      </c>
      <c r="E12" t="s">
        <v>252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69</v>
      </c>
      <c r="B13" t="s">
        <v>71</v>
      </c>
      <c r="C13" t="s">
        <v>32</v>
      </c>
      <c r="D13" t="s">
        <v>81</v>
      </c>
      <c r="E13" t="s">
        <v>246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73</v>
      </c>
      <c r="B14" t="s">
        <v>75</v>
      </c>
      <c r="C14" t="s">
        <v>32</v>
      </c>
      <c r="D14" t="s">
        <v>87</v>
      </c>
      <c r="E14" t="s">
        <v>235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  <row r="15" spans="1:92" x14ac:dyDescent="0.15">
      <c r="A15" t="s">
        <v>121</v>
      </c>
      <c r="B15" t="s">
        <v>123</v>
      </c>
      <c r="C15" t="s">
        <v>106</v>
      </c>
      <c r="D15" t="s">
        <v>122</v>
      </c>
      <c r="E15" t="s">
        <v>235</v>
      </c>
      <c r="F15">
        <v>26</v>
      </c>
      <c r="G15">
        <v>19</v>
      </c>
      <c r="H15">
        <v>12</v>
      </c>
      <c r="I15">
        <v>2</v>
      </c>
      <c r="J15">
        <v>0</v>
      </c>
      <c r="K15">
        <v>2</v>
      </c>
      <c r="L15">
        <v>2</v>
      </c>
      <c r="M15">
        <v>0.3</v>
      </c>
      <c r="N15">
        <v>11</v>
      </c>
      <c r="O15">
        <v>8</v>
      </c>
      <c r="P15">
        <v>0</v>
      </c>
      <c r="Q15">
        <v>0</v>
      </c>
      <c r="R15">
        <v>1</v>
      </c>
      <c r="S15">
        <v>0</v>
      </c>
      <c r="T15">
        <v>2</v>
      </c>
      <c r="U15">
        <v>1</v>
      </c>
      <c r="V15">
        <v>3</v>
      </c>
      <c r="W15">
        <v>2</v>
      </c>
      <c r="X15">
        <v>0</v>
      </c>
      <c r="Y15">
        <v>0</v>
      </c>
      <c r="Z15">
        <v>2</v>
      </c>
      <c r="AA15">
        <v>4</v>
      </c>
      <c r="AB15">
        <v>1</v>
      </c>
      <c r="AC15">
        <v>3</v>
      </c>
      <c r="AD15">
        <v>2</v>
      </c>
      <c r="AE15">
        <v>0</v>
      </c>
      <c r="AF15">
        <v>0</v>
      </c>
      <c r="AG15">
        <v>1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2</v>
      </c>
      <c r="AP15">
        <v>4</v>
      </c>
      <c r="AQ15">
        <v>1</v>
      </c>
      <c r="AR15">
        <v>3</v>
      </c>
      <c r="AS15">
        <v>2</v>
      </c>
      <c r="AT15">
        <v>0</v>
      </c>
      <c r="AU15">
        <v>0</v>
      </c>
      <c r="AV15">
        <v>0</v>
      </c>
      <c r="AW15">
        <v>0</v>
      </c>
      <c r="AX15">
        <v>2</v>
      </c>
      <c r="AY15">
        <v>0</v>
      </c>
      <c r="AZ15">
        <v>2</v>
      </c>
      <c r="BA15">
        <v>2</v>
      </c>
      <c r="BB15">
        <v>0.3</v>
      </c>
      <c r="BC15">
        <v>0</v>
      </c>
      <c r="BD15">
        <v>1</v>
      </c>
      <c r="BE15">
        <v>0</v>
      </c>
      <c r="BF15">
        <v>2</v>
      </c>
      <c r="BG15">
        <v>1</v>
      </c>
      <c r="BH15">
        <v>2</v>
      </c>
      <c r="BI15">
        <v>1</v>
      </c>
      <c r="BJ15">
        <v>1</v>
      </c>
      <c r="BK15">
        <v>0</v>
      </c>
      <c r="BL15">
        <v>0</v>
      </c>
      <c r="BM15">
        <v>0</v>
      </c>
      <c r="BN15">
        <v>11</v>
      </c>
      <c r="BO15">
        <v>8</v>
      </c>
      <c r="BP15">
        <v>0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3</v>
      </c>
      <c r="BZ15">
        <v>2</v>
      </c>
      <c r="CA15">
        <v>0</v>
      </c>
      <c r="CB15">
        <v>0</v>
      </c>
      <c r="CC15">
        <v>10</v>
      </c>
      <c r="CD15">
        <v>2</v>
      </c>
      <c r="CE15">
        <v>1</v>
      </c>
      <c r="CF15">
        <v>4</v>
      </c>
      <c r="CG15">
        <v>4</v>
      </c>
    </row>
    <row r="16" spans="1:92" x14ac:dyDescent="0.15">
      <c r="A16" t="s">
        <v>116</v>
      </c>
      <c r="B16" t="s">
        <v>118</v>
      </c>
      <c r="C16" t="s">
        <v>106</v>
      </c>
      <c r="D16" t="s">
        <v>117</v>
      </c>
      <c r="E16" t="s">
        <v>244</v>
      </c>
      <c r="F16">
        <v>70</v>
      </c>
      <c r="G16">
        <v>30</v>
      </c>
      <c r="H16">
        <v>10</v>
      </c>
      <c r="I16">
        <v>0</v>
      </c>
      <c r="J16">
        <v>0</v>
      </c>
      <c r="K16">
        <v>1</v>
      </c>
      <c r="L16">
        <v>0</v>
      </c>
      <c r="M16">
        <v>0</v>
      </c>
      <c r="N16">
        <v>13</v>
      </c>
      <c r="O16">
        <v>9</v>
      </c>
      <c r="P16">
        <v>1</v>
      </c>
      <c r="Q16">
        <v>1</v>
      </c>
      <c r="R16">
        <v>1</v>
      </c>
      <c r="S16">
        <v>0</v>
      </c>
      <c r="T16">
        <v>1</v>
      </c>
      <c r="U16">
        <v>0</v>
      </c>
      <c r="V16">
        <v>11</v>
      </c>
      <c r="W16">
        <v>1</v>
      </c>
      <c r="X16">
        <v>0</v>
      </c>
      <c r="Y16">
        <v>0</v>
      </c>
      <c r="Z16">
        <v>0</v>
      </c>
      <c r="AA16">
        <v>2</v>
      </c>
      <c r="AB16">
        <v>0</v>
      </c>
      <c r="AC16">
        <v>7</v>
      </c>
      <c r="AD16">
        <v>2</v>
      </c>
      <c r="AE16">
        <v>0</v>
      </c>
      <c r="AF16">
        <v>0</v>
      </c>
      <c r="AG16">
        <v>7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7</v>
      </c>
      <c r="AS16">
        <v>2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1</v>
      </c>
      <c r="BE16">
        <v>0</v>
      </c>
      <c r="BF16">
        <v>1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13</v>
      </c>
      <c r="BO16">
        <v>9</v>
      </c>
      <c r="BP16">
        <v>1</v>
      </c>
      <c r="BQ16">
        <v>1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15</v>
      </c>
      <c r="CD16">
        <v>4</v>
      </c>
      <c r="CE16">
        <v>4</v>
      </c>
      <c r="CF16">
        <v>3</v>
      </c>
      <c r="CG16">
        <v>3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244</v>
      </c>
      <c r="F17">
        <v>36</v>
      </c>
      <c r="G17">
        <v>14</v>
      </c>
      <c r="H17">
        <v>9</v>
      </c>
      <c r="I17">
        <v>0</v>
      </c>
      <c r="J17">
        <v>0</v>
      </c>
      <c r="K17">
        <v>0</v>
      </c>
      <c r="L17">
        <v>0</v>
      </c>
      <c r="M17">
        <v>0</v>
      </c>
      <c r="N17">
        <v>5</v>
      </c>
      <c r="O17">
        <v>3</v>
      </c>
      <c r="P17">
        <v>2</v>
      </c>
      <c r="Q17">
        <v>1</v>
      </c>
      <c r="R17">
        <v>0</v>
      </c>
      <c r="S17">
        <v>0</v>
      </c>
      <c r="T17">
        <v>0</v>
      </c>
      <c r="U17">
        <v>0</v>
      </c>
      <c r="V17">
        <v>7</v>
      </c>
      <c r="W17">
        <v>6</v>
      </c>
      <c r="X17">
        <v>1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4</v>
      </c>
      <c r="AH17">
        <v>4</v>
      </c>
      <c r="AI17">
        <v>1</v>
      </c>
      <c r="AJ17">
        <v>1</v>
      </c>
      <c r="AK17">
        <v>1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3</v>
      </c>
      <c r="BP17">
        <v>2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1</v>
      </c>
      <c r="CE17">
        <v>0</v>
      </c>
      <c r="CF17">
        <v>1</v>
      </c>
      <c r="CG17">
        <v>1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235</v>
      </c>
      <c r="F18">
        <v>19</v>
      </c>
      <c r="G18">
        <v>21</v>
      </c>
      <c r="H18">
        <v>11</v>
      </c>
      <c r="I18">
        <v>0</v>
      </c>
      <c r="J18">
        <v>0</v>
      </c>
      <c r="K18">
        <v>0</v>
      </c>
      <c r="L18">
        <v>0</v>
      </c>
      <c r="M18">
        <v>0</v>
      </c>
      <c r="N18">
        <v>11</v>
      </c>
      <c r="O18">
        <v>9</v>
      </c>
      <c r="P18">
        <v>1</v>
      </c>
      <c r="Q18">
        <v>0</v>
      </c>
      <c r="R18">
        <v>0</v>
      </c>
      <c r="S18">
        <v>0</v>
      </c>
      <c r="T18">
        <v>1</v>
      </c>
      <c r="U18">
        <v>1</v>
      </c>
      <c r="V18">
        <v>7</v>
      </c>
      <c r="W18">
        <v>2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4</v>
      </c>
      <c r="AJ18">
        <v>0</v>
      </c>
      <c r="AK18">
        <v>1</v>
      </c>
      <c r="AL18">
        <v>1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2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1</v>
      </c>
      <c r="BH18">
        <v>1</v>
      </c>
      <c r="BI18">
        <v>1</v>
      </c>
      <c r="BJ18">
        <v>0</v>
      </c>
      <c r="BK18">
        <v>0</v>
      </c>
      <c r="BL18">
        <v>0</v>
      </c>
      <c r="BM18">
        <v>0</v>
      </c>
      <c r="BN18">
        <v>11</v>
      </c>
      <c r="BO18">
        <v>9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2</v>
      </c>
      <c r="BZ18">
        <v>1</v>
      </c>
      <c r="CA18">
        <v>0</v>
      </c>
      <c r="CB18">
        <v>0</v>
      </c>
      <c r="CC18">
        <v>0</v>
      </c>
      <c r="CD18">
        <v>5</v>
      </c>
      <c r="CE18">
        <v>4</v>
      </c>
      <c r="CF18">
        <v>3</v>
      </c>
      <c r="CG18">
        <v>2</v>
      </c>
    </row>
  </sheetData>
  <mergeCells count="31">
    <mergeCell ref="AK1:AL1"/>
    <mergeCell ref="BD1:BE1"/>
    <mergeCell ref="AC1:AD1"/>
    <mergeCell ref="P1:Q1"/>
    <mergeCell ref="CK1:CL1"/>
    <mergeCell ref="CA1:CB1"/>
    <mergeCell ref="BR1:BS1"/>
    <mergeCell ref="CD1:CE1"/>
    <mergeCell ref="CF1:CG1"/>
    <mergeCell ref="V1:W1"/>
    <mergeCell ref="BY1:BZ1"/>
    <mergeCell ref="AG1:AH1"/>
    <mergeCell ref="AI1:AJ1"/>
    <mergeCell ref="AZ1:BA1"/>
    <mergeCell ref="AA1:AB1"/>
    <mergeCell ref="CM1:CN1"/>
    <mergeCell ref="BH1:BI1"/>
    <mergeCell ref="BN1:BO1"/>
    <mergeCell ref="BP1:BQ1"/>
    <mergeCell ref="G1:H1"/>
    <mergeCell ref="X1:Y1"/>
    <mergeCell ref="BT1:BU1"/>
    <mergeCell ref="AR1:AS1"/>
    <mergeCell ref="BF1:BG1"/>
    <mergeCell ref="K1:L1"/>
    <mergeCell ref="AP1:AQ1"/>
    <mergeCell ref="CH1:CI1"/>
    <mergeCell ref="R1:S1"/>
    <mergeCell ref="N1:O1"/>
    <mergeCell ref="AM1:AN1"/>
    <mergeCell ref="T1: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254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90</v>
      </c>
      <c r="B3" t="s">
        <v>79</v>
      </c>
      <c r="C3" t="s">
        <v>32</v>
      </c>
      <c r="D3" t="s">
        <v>30</v>
      </c>
      <c r="E3" t="s">
        <v>244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77</v>
      </c>
      <c r="B4" t="s">
        <v>82</v>
      </c>
      <c r="C4" t="s">
        <v>32</v>
      </c>
      <c r="D4" t="s">
        <v>37</v>
      </c>
      <c r="E4" t="s">
        <v>244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235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235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243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255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235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256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235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235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G17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251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251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251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251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251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235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64</v>
      </c>
      <c r="B13" t="s">
        <v>75</v>
      </c>
      <c r="C13" t="s">
        <v>32</v>
      </c>
      <c r="D13" t="s">
        <v>87</v>
      </c>
      <c r="E13" t="s">
        <v>257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235</v>
      </c>
      <c r="F14">
        <v>76</v>
      </c>
      <c r="G14">
        <v>41</v>
      </c>
      <c r="H14">
        <v>23</v>
      </c>
      <c r="I14">
        <v>0</v>
      </c>
      <c r="J14">
        <v>0</v>
      </c>
      <c r="K14">
        <v>0</v>
      </c>
      <c r="L14">
        <v>0</v>
      </c>
      <c r="M14">
        <v>0.09</v>
      </c>
      <c r="N14">
        <v>25</v>
      </c>
      <c r="O14">
        <v>18</v>
      </c>
      <c r="P14">
        <v>5</v>
      </c>
      <c r="Q14">
        <v>3</v>
      </c>
      <c r="R14">
        <v>0</v>
      </c>
      <c r="S14">
        <v>0</v>
      </c>
      <c r="T14">
        <v>0</v>
      </c>
      <c r="U14">
        <v>0</v>
      </c>
      <c r="V14">
        <v>9</v>
      </c>
      <c r="W14">
        <v>5</v>
      </c>
      <c r="X14">
        <v>2</v>
      </c>
      <c r="Y14">
        <v>1</v>
      </c>
      <c r="Z14">
        <v>4</v>
      </c>
      <c r="AA14">
        <v>12</v>
      </c>
      <c r="AB14">
        <v>2</v>
      </c>
      <c r="AC14">
        <v>5</v>
      </c>
      <c r="AD14">
        <v>3</v>
      </c>
      <c r="AE14">
        <v>0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4</v>
      </c>
      <c r="AP14">
        <v>12</v>
      </c>
      <c r="AQ14">
        <v>2</v>
      </c>
      <c r="AR14">
        <v>5</v>
      </c>
      <c r="AS14">
        <v>3</v>
      </c>
      <c r="AT14">
        <v>3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0</v>
      </c>
      <c r="BM14">
        <v>2</v>
      </c>
      <c r="BN14">
        <v>25</v>
      </c>
      <c r="BO14">
        <v>18</v>
      </c>
      <c r="BP14">
        <v>5</v>
      </c>
      <c r="BQ14">
        <v>3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0.09</v>
      </c>
      <c r="BX14">
        <v>0</v>
      </c>
      <c r="BY14">
        <v>6</v>
      </c>
      <c r="BZ14">
        <v>3</v>
      </c>
      <c r="CA14">
        <v>0</v>
      </c>
      <c r="CB14">
        <v>0</v>
      </c>
      <c r="CC14">
        <v>18</v>
      </c>
      <c r="CD14">
        <v>8</v>
      </c>
      <c r="CE14">
        <v>2</v>
      </c>
      <c r="CF14">
        <v>3</v>
      </c>
      <c r="CG14">
        <v>3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234</v>
      </c>
      <c r="F15">
        <v>13</v>
      </c>
      <c r="G15">
        <v>6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2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2</v>
      </c>
      <c r="W15">
        <v>0</v>
      </c>
      <c r="X15">
        <v>1</v>
      </c>
      <c r="Y15">
        <v>0</v>
      </c>
      <c r="Z15">
        <v>0</v>
      </c>
      <c r="AA15">
        <v>3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3</v>
      </c>
      <c r="AQ15">
        <v>2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</v>
      </c>
      <c r="BO15">
        <v>1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</v>
      </c>
      <c r="CD15">
        <v>0</v>
      </c>
      <c r="CE15">
        <v>0</v>
      </c>
      <c r="CF15">
        <v>1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234</v>
      </c>
      <c r="F16">
        <v>63</v>
      </c>
      <c r="G16">
        <v>38</v>
      </c>
      <c r="H16">
        <v>17</v>
      </c>
      <c r="I16">
        <v>0</v>
      </c>
      <c r="J16">
        <v>2</v>
      </c>
      <c r="K16">
        <v>0</v>
      </c>
      <c r="L16">
        <v>0</v>
      </c>
      <c r="M16">
        <v>0</v>
      </c>
      <c r="N16">
        <v>22</v>
      </c>
      <c r="O16">
        <v>13</v>
      </c>
      <c r="P16">
        <v>3</v>
      </c>
      <c r="Q16">
        <v>1</v>
      </c>
      <c r="R16">
        <v>0</v>
      </c>
      <c r="S16">
        <v>0</v>
      </c>
      <c r="T16">
        <v>0</v>
      </c>
      <c r="U16">
        <v>0</v>
      </c>
      <c r="V16">
        <v>12</v>
      </c>
      <c r="W16">
        <v>4</v>
      </c>
      <c r="X16">
        <v>2</v>
      </c>
      <c r="Y16">
        <v>1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6</v>
      </c>
      <c r="AH16">
        <v>1</v>
      </c>
      <c r="AI16">
        <v>2</v>
      </c>
      <c r="AJ16">
        <v>1</v>
      </c>
      <c r="AK16">
        <v>2</v>
      </c>
      <c r="AL16">
        <v>1</v>
      </c>
      <c r="AM16">
        <v>0</v>
      </c>
      <c r="AN16">
        <v>0</v>
      </c>
      <c r="AO16">
        <v>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</v>
      </c>
      <c r="AV16">
        <v>0</v>
      </c>
      <c r="AW16">
        <v>0</v>
      </c>
      <c r="AX16">
        <v>0</v>
      </c>
      <c r="AY16">
        <v>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22</v>
      </c>
      <c r="BO16">
        <v>13</v>
      </c>
      <c r="BP16">
        <v>3</v>
      </c>
      <c r="BQ16">
        <v>1</v>
      </c>
      <c r="BR16">
        <v>1</v>
      </c>
      <c r="BS16">
        <v>1</v>
      </c>
      <c r="BT16">
        <v>0</v>
      </c>
      <c r="BU16">
        <v>0</v>
      </c>
      <c r="BV16">
        <v>2</v>
      </c>
      <c r="BW16">
        <v>0</v>
      </c>
      <c r="BX16">
        <v>0</v>
      </c>
      <c r="BY16">
        <v>2</v>
      </c>
      <c r="BZ16">
        <v>0</v>
      </c>
      <c r="CA16">
        <v>0</v>
      </c>
      <c r="CB16">
        <v>0</v>
      </c>
      <c r="CC16">
        <v>0</v>
      </c>
      <c r="CD16">
        <v>12</v>
      </c>
      <c r="CE16">
        <v>5</v>
      </c>
      <c r="CF16">
        <v>2</v>
      </c>
      <c r="CG16">
        <v>1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234</v>
      </c>
      <c r="F17">
        <v>19</v>
      </c>
      <c r="G17">
        <v>9</v>
      </c>
      <c r="H17">
        <v>5</v>
      </c>
      <c r="I17">
        <v>0</v>
      </c>
      <c r="J17">
        <v>0</v>
      </c>
      <c r="K17">
        <v>1</v>
      </c>
      <c r="L17">
        <v>0</v>
      </c>
      <c r="M17">
        <v>0</v>
      </c>
      <c r="N17">
        <v>5</v>
      </c>
      <c r="O17">
        <v>5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3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5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2</v>
      </c>
      <c r="CG17">
        <v>2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G18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96</v>
      </c>
      <c r="B2" t="s">
        <v>92</v>
      </c>
      <c r="C2" t="s">
        <v>32</v>
      </c>
      <c r="D2">
        <v>46158</v>
      </c>
      <c r="E2" t="s">
        <v>258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90</v>
      </c>
      <c r="B3" t="s">
        <v>98</v>
      </c>
      <c r="C3" t="s">
        <v>32</v>
      </c>
      <c r="D3">
        <v>46151</v>
      </c>
      <c r="E3" t="s">
        <v>234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>
        <v>46144</v>
      </c>
      <c r="E4" t="s">
        <v>234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>
        <v>46137</v>
      </c>
      <c r="E5" t="s">
        <v>251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86</v>
      </c>
      <c r="B6" t="s">
        <v>88</v>
      </c>
      <c r="C6" t="s">
        <v>32</v>
      </c>
      <c r="D6">
        <v>46130</v>
      </c>
      <c r="E6" t="s">
        <v>259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29</v>
      </c>
      <c r="B7" t="s">
        <v>31</v>
      </c>
      <c r="C7" t="s">
        <v>32</v>
      </c>
      <c r="D7">
        <v>46123</v>
      </c>
      <c r="E7" t="s">
        <v>244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>
        <v>46116</v>
      </c>
      <c r="E8" t="s">
        <v>234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42</v>
      </c>
      <c r="B9" t="s">
        <v>44</v>
      </c>
      <c r="C9" t="s">
        <v>32</v>
      </c>
      <c r="D9">
        <v>46110</v>
      </c>
      <c r="E9" t="s">
        <v>234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46</v>
      </c>
      <c r="B10" t="s">
        <v>48</v>
      </c>
      <c r="C10" t="s">
        <v>32</v>
      </c>
      <c r="D10">
        <v>46102</v>
      </c>
      <c r="E10" t="s">
        <v>247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52</v>
      </c>
      <c r="B11" t="s">
        <v>54</v>
      </c>
      <c r="C11" t="s">
        <v>32</v>
      </c>
      <c r="D11">
        <v>46095</v>
      </c>
      <c r="E11" t="s">
        <v>234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58</v>
      </c>
      <c r="B12" t="s">
        <v>60</v>
      </c>
      <c r="C12" t="s">
        <v>32</v>
      </c>
      <c r="D12">
        <v>46088</v>
      </c>
      <c r="E12" t="s">
        <v>247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69</v>
      </c>
      <c r="B13" t="s">
        <v>71</v>
      </c>
      <c r="C13" t="s">
        <v>32</v>
      </c>
      <c r="D13">
        <v>46060</v>
      </c>
      <c r="E13" t="s">
        <v>259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73</v>
      </c>
      <c r="B14" t="s">
        <v>75</v>
      </c>
      <c r="C14" t="s">
        <v>32</v>
      </c>
      <c r="D14">
        <v>46046</v>
      </c>
      <c r="E14" t="s">
        <v>234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  <row r="15" spans="1:85" x14ac:dyDescent="0.15">
      <c r="A15" t="s">
        <v>121</v>
      </c>
      <c r="B15" t="s">
        <v>123</v>
      </c>
      <c r="C15" t="s">
        <v>106</v>
      </c>
      <c r="D15" t="s">
        <v>122</v>
      </c>
      <c r="E15" t="s">
        <v>234</v>
      </c>
      <c r="F15">
        <v>17</v>
      </c>
      <c r="G15">
        <v>11</v>
      </c>
      <c r="H15">
        <v>7</v>
      </c>
      <c r="I15">
        <v>0</v>
      </c>
      <c r="J15">
        <v>1</v>
      </c>
      <c r="K15">
        <v>0</v>
      </c>
      <c r="L15">
        <v>0</v>
      </c>
      <c r="M15">
        <v>0</v>
      </c>
      <c r="N15">
        <v>7</v>
      </c>
      <c r="O15">
        <v>6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3</v>
      </c>
      <c r="W15">
        <v>1</v>
      </c>
      <c r="X15">
        <v>1</v>
      </c>
      <c r="Y15">
        <v>1</v>
      </c>
      <c r="Z15">
        <v>0</v>
      </c>
      <c r="AA15">
        <v>2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7</v>
      </c>
      <c r="BO15">
        <v>6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0.05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4</v>
      </c>
      <c r="CD15">
        <v>1</v>
      </c>
      <c r="CE15">
        <v>1</v>
      </c>
      <c r="CF15">
        <v>3</v>
      </c>
      <c r="CG15">
        <v>3</v>
      </c>
    </row>
    <row r="16" spans="1:85" x14ac:dyDescent="0.15">
      <c r="A16" t="s">
        <v>116</v>
      </c>
      <c r="B16" t="s">
        <v>118</v>
      </c>
      <c r="C16" t="s">
        <v>106</v>
      </c>
      <c r="D16" t="s">
        <v>117</v>
      </c>
      <c r="E16" t="s">
        <v>234</v>
      </c>
      <c r="F16">
        <v>23</v>
      </c>
      <c r="G16">
        <v>10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5</v>
      </c>
      <c r="O16">
        <v>3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4</v>
      </c>
      <c r="W16">
        <v>3</v>
      </c>
      <c r="X16">
        <v>2</v>
      </c>
      <c r="Y16">
        <v>1</v>
      </c>
      <c r="Z16">
        <v>0</v>
      </c>
      <c r="AA16">
        <v>1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1</v>
      </c>
      <c r="AR16">
        <v>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1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</v>
      </c>
      <c r="BO16">
        <v>3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6</v>
      </c>
      <c r="CD16">
        <v>3</v>
      </c>
      <c r="CE16">
        <v>1</v>
      </c>
      <c r="CF16">
        <v>0</v>
      </c>
      <c r="CG16">
        <v>0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234</v>
      </c>
      <c r="F17">
        <v>30</v>
      </c>
      <c r="G17">
        <v>8</v>
      </c>
      <c r="H17">
        <v>4</v>
      </c>
      <c r="I17">
        <v>0</v>
      </c>
      <c r="J17">
        <v>0</v>
      </c>
      <c r="K17">
        <v>0</v>
      </c>
      <c r="L17">
        <v>0</v>
      </c>
      <c r="M17">
        <v>0</v>
      </c>
      <c r="N17">
        <v>4</v>
      </c>
      <c r="O17">
        <v>3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2</v>
      </c>
      <c r="W17">
        <v>1</v>
      </c>
      <c r="X17">
        <v>2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3</v>
      </c>
      <c r="BP17">
        <v>1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1</v>
      </c>
      <c r="CA17">
        <v>0</v>
      </c>
      <c r="CB17">
        <v>0</v>
      </c>
      <c r="CC17">
        <v>0</v>
      </c>
      <c r="CD17">
        <v>4</v>
      </c>
      <c r="CE17">
        <v>3</v>
      </c>
      <c r="CF17">
        <v>0</v>
      </c>
      <c r="CG17">
        <v>0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234</v>
      </c>
      <c r="F18">
        <v>19</v>
      </c>
      <c r="G18">
        <v>10</v>
      </c>
      <c r="H18">
        <v>4</v>
      </c>
      <c r="I18">
        <v>0</v>
      </c>
      <c r="J18">
        <v>0</v>
      </c>
      <c r="K18">
        <v>0</v>
      </c>
      <c r="L18">
        <v>0</v>
      </c>
      <c r="M18">
        <v>0</v>
      </c>
      <c r="N18">
        <v>7</v>
      </c>
      <c r="O18">
        <v>4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7</v>
      </c>
      <c r="BO18">
        <v>4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1</v>
      </c>
      <c r="CE18">
        <v>0</v>
      </c>
      <c r="CF18">
        <v>3</v>
      </c>
      <c r="CG18">
        <v>2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H19"/>
  <sheetViews>
    <sheetView topLeftCell="O1" workbookViewId="0">
      <selection activeCell="V16" sqref="V16:V17"/>
    </sheetView>
  </sheetViews>
  <sheetFormatPr baseColWidth="10" defaultRowHeight="14" x14ac:dyDescent="0.15"/>
  <sheetData>
    <row r="1" spans="1:86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t="s">
        <v>198</v>
      </c>
      <c r="AH1" s="5" t="s">
        <v>212</v>
      </c>
      <c r="AI1" s="5"/>
      <c r="AJ1" s="5" t="s">
        <v>207</v>
      </c>
      <c r="AK1" s="5"/>
      <c r="AL1" s="5" t="s">
        <v>213</v>
      </c>
      <c r="AM1" s="5"/>
      <c r="AN1" s="5" t="s">
        <v>214</v>
      </c>
      <c r="AO1" s="5"/>
      <c r="AP1" t="s">
        <v>161</v>
      </c>
      <c r="AQ1" s="5" t="s">
        <v>208</v>
      </c>
      <c r="AR1" s="5"/>
      <c r="AS1" s="5" t="s">
        <v>209</v>
      </c>
      <c r="AT1" s="5"/>
      <c r="AU1" t="s">
        <v>162</v>
      </c>
      <c r="AV1" t="s">
        <v>163</v>
      </c>
      <c r="AW1" t="s">
        <v>164</v>
      </c>
      <c r="AX1" t="s">
        <v>165</v>
      </c>
      <c r="AY1" t="s">
        <v>7</v>
      </c>
      <c r="AZ1" t="s">
        <v>200</v>
      </c>
      <c r="BA1" s="5" t="s">
        <v>201</v>
      </c>
      <c r="BB1" s="5"/>
      <c r="BC1" t="s">
        <v>8</v>
      </c>
      <c r="BD1" t="s">
        <v>215</v>
      </c>
      <c r="BE1" s="5" t="s">
        <v>204</v>
      </c>
      <c r="BF1" s="5"/>
      <c r="BG1" s="5" t="s">
        <v>205</v>
      </c>
      <c r="BH1" s="5"/>
      <c r="BI1" s="5" t="s">
        <v>216</v>
      </c>
      <c r="BJ1" s="5"/>
      <c r="BK1" t="s">
        <v>217</v>
      </c>
      <c r="BL1" t="s">
        <v>146</v>
      </c>
      <c r="BM1" t="s">
        <v>218</v>
      </c>
      <c r="BN1" t="s">
        <v>219</v>
      </c>
      <c r="BO1" s="5" t="s">
        <v>202</v>
      </c>
      <c r="BP1" s="5"/>
      <c r="BQ1" s="5" t="s">
        <v>203</v>
      </c>
      <c r="BR1" s="5"/>
      <c r="BS1" s="5" t="s">
        <v>220</v>
      </c>
      <c r="BT1" s="5"/>
      <c r="BU1" s="5" t="s">
        <v>204</v>
      </c>
      <c r="BV1" s="5"/>
      <c r="BW1" t="s">
        <v>200</v>
      </c>
      <c r="BX1" t="s">
        <v>221</v>
      </c>
      <c r="BY1" t="s">
        <v>222</v>
      </c>
      <c r="BZ1" s="5" t="s">
        <v>223</v>
      </c>
      <c r="CA1" s="5"/>
      <c r="CB1" s="5" t="s">
        <v>224</v>
      </c>
      <c r="CC1" s="5"/>
      <c r="CD1" t="s">
        <v>225</v>
      </c>
      <c r="CE1" s="5" t="s">
        <v>226</v>
      </c>
      <c r="CF1" s="5"/>
      <c r="CG1" s="5" t="s">
        <v>227</v>
      </c>
      <c r="CH1" s="5"/>
    </row>
    <row r="2" spans="1:86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77</v>
      </c>
      <c r="B4" t="s">
        <v>79</v>
      </c>
      <c r="C4" t="s">
        <v>32</v>
      </c>
      <c r="D4" t="s">
        <v>30</v>
      </c>
      <c r="E4" t="s">
        <v>234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80</v>
      </c>
      <c r="B5" t="s">
        <v>82</v>
      </c>
      <c r="C5" t="s">
        <v>32</v>
      </c>
      <c r="D5" t="s">
        <v>37</v>
      </c>
      <c r="E5" t="s">
        <v>234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42</v>
      </c>
      <c r="B9" t="s">
        <v>44</v>
      </c>
      <c r="C9" t="s">
        <v>32</v>
      </c>
      <c r="D9" t="s">
        <v>59</v>
      </c>
      <c r="E9" t="s">
        <v>234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52</v>
      </c>
      <c r="B11" t="s">
        <v>54</v>
      </c>
      <c r="C11" t="s">
        <v>32</v>
      </c>
      <c r="D11" t="s">
        <v>70</v>
      </c>
      <c r="E11" t="s">
        <v>234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64</v>
      </c>
      <c r="B13" t="s">
        <v>66</v>
      </c>
      <c r="C13" t="s">
        <v>32</v>
      </c>
      <c r="D13" t="s">
        <v>78</v>
      </c>
      <c r="E13" t="s">
        <v>234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69</v>
      </c>
      <c r="B14" t="s">
        <v>71</v>
      </c>
      <c r="C14" t="s">
        <v>32</v>
      </c>
      <c r="D14" t="s">
        <v>81</v>
      </c>
      <c r="E14" t="s">
        <v>234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  <row r="16" spans="1:86" x14ac:dyDescent="0.15">
      <c r="A16" t="s">
        <v>121</v>
      </c>
      <c r="B16" t="s">
        <v>123</v>
      </c>
      <c r="C16" t="s">
        <v>106</v>
      </c>
      <c r="D16" t="s">
        <v>122</v>
      </c>
      <c r="E16" t="s">
        <v>234</v>
      </c>
      <c r="F16">
        <v>85</v>
      </c>
      <c r="G16">
        <v>57</v>
      </c>
      <c r="H16">
        <v>23</v>
      </c>
      <c r="I16">
        <v>0</v>
      </c>
      <c r="J16">
        <v>0</v>
      </c>
      <c r="K16">
        <v>6</v>
      </c>
      <c r="L16">
        <v>2</v>
      </c>
      <c r="M16">
        <v>0.42</v>
      </c>
      <c r="N16">
        <v>21</v>
      </c>
      <c r="O16">
        <v>11</v>
      </c>
      <c r="P16">
        <v>2</v>
      </c>
      <c r="Q16">
        <v>0</v>
      </c>
      <c r="R16">
        <v>1</v>
      </c>
      <c r="S16">
        <v>0</v>
      </c>
      <c r="T16">
        <v>2</v>
      </c>
      <c r="U16">
        <v>1</v>
      </c>
      <c r="V16">
        <v>22</v>
      </c>
      <c r="W16">
        <v>10</v>
      </c>
      <c r="X16">
        <v>7</v>
      </c>
      <c r="Y16">
        <v>4</v>
      </c>
      <c r="Z16">
        <v>1</v>
      </c>
      <c r="AA16">
        <v>20</v>
      </c>
      <c r="AB16">
        <v>4</v>
      </c>
      <c r="AC16">
        <v>0</v>
      </c>
      <c r="AD16">
        <v>6</v>
      </c>
      <c r="AE16">
        <v>0</v>
      </c>
      <c r="AF16">
        <v>0</v>
      </c>
      <c r="AG16">
        <v>6</v>
      </c>
      <c r="AH16">
        <v>3</v>
      </c>
      <c r="AI16">
        <v>7</v>
      </c>
      <c r="AJ16">
        <v>4</v>
      </c>
      <c r="AK16">
        <v>1</v>
      </c>
      <c r="AL16">
        <v>1</v>
      </c>
      <c r="AM16">
        <v>0</v>
      </c>
      <c r="AN16">
        <v>0</v>
      </c>
      <c r="AO16">
        <v>1</v>
      </c>
      <c r="AP16">
        <v>20</v>
      </c>
      <c r="AQ16">
        <v>4</v>
      </c>
      <c r="AR16">
        <v>0</v>
      </c>
      <c r="AS16">
        <v>6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6</v>
      </c>
      <c r="BA16">
        <v>2</v>
      </c>
      <c r="BB16">
        <v>0.42</v>
      </c>
      <c r="BC16">
        <v>0</v>
      </c>
      <c r="BD16">
        <v>1</v>
      </c>
      <c r="BE16">
        <v>0</v>
      </c>
      <c r="BF16">
        <v>2</v>
      </c>
      <c r="BG16">
        <v>1</v>
      </c>
      <c r="BH16">
        <v>8</v>
      </c>
      <c r="BI16">
        <v>2</v>
      </c>
      <c r="BJ16">
        <v>6</v>
      </c>
      <c r="BK16">
        <v>2</v>
      </c>
      <c r="BL16">
        <v>0</v>
      </c>
      <c r="BM16">
        <v>1</v>
      </c>
      <c r="BN16">
        <v>21</v>
      </c>
      <c r="BO16">
        <v>11</v>
      </c>
      <c r="BP16">
        <v>2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11</v>
      </c>
      <c r="CD16">
        <v>5</v>
      </c>
      <c r="CE16">
        <v>3</v>
      </c>
      <c r="CF16">
        <v>3</v>
      </c>
      <c r="CG16">
        <v>3</v>
      </c>
    </row>
    <row r="17" spans="1:85" x14ac:dyDescent="0.15">
      <c r="A17" t="s">
        <v>116</v>
      </c>
      <c r="B17" t="s">
        <v>118</v>
      </c>
      <c r="C17" t="s">
        <v>106</v>
      </c>
      <c r="D17" t="s">
        <v>117</v>
      </c>
      <c r="E17" t="s">
        <v>234</v>
      </c>
      <c r="F17">
        <v>83</v>
      </c>
      <c r="G17">
        <v>36</v>
      </c>
      <c r="H17">
        <v>15</v>
      </c>
      <c r="I17">
        <v>2</v>
      </c>
      <c r="J17">
        <v>1</v>
      </c>
      <c r="K17">
        <v>3</v>
      </c>
      <c r="L17">
        <v>2</v>
      </c>
      <c r="M17">
        <v>0.64</v>
      </c>
      <c r="N17">
        <v>13</v>
      </c>
      <c r="O17">
        <v>7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12</v>
      </c>
      <c r="W17">
        <v>5</v>
      </c>
      <c r="X17">
        <v>4</v>
      </c>
      <c r="Y17">
        <v>2</v>
      </c>
      <c r="Z17">
        <v>3</v>
      </c>
      <c r="AA17">
        <v>3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6</v>
      </c>
      <c r="AH17">
        <v>2</v>
      </c>
      <c r="AI17">
        <v>4</v>
      </c>
      <c r="AJ17">
        <v>2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3</v>
      </c>
      <c r="AQ17">
        <v>2</v>
      </c>
      <c r="AR17">
        <v>0</v>
      </c>
      <c r="AS17">
        <v>0</v>
      </c>
      <c r="AT17">
        <v>0</v>
      </c>
      <c r="AU17">
        <v>4</v>
      </c>
      <c r="AV17">
        <v>0</v>
      </c>
      <c r="AW17">
        <v>0</v>
      </c>
      <c r="AX17">
        <v>2</v>
      </c>
      <c r="AY17">
        <v>1</v>
      </c>
      <c r="AZ17">
        <v>3</v>
      </c>
      <c r="BA17">
        <v>2</v>
      </c>
      <c r="BB17">
        <v>0.64</v>
      </c>
      <c r="BC17">
        <v>0</v>
      </c>
      <c r="BD17">
        <v>0</v>
      </c>
      <c r="BE17">
        <v>0</v>
      </c>
      <c r="BF17">
        <v>1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13</v>
      </c>
      <c r="BO17">
        <v>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4</v>
      </c>
      <c r="BZ17">
        <v>1</v>
      </c>
      <c r="CA17">
        <v>0</v>
      </c>
      <c r="CB17">
        <v>0</v>
      </c>
      <c r="CC17">
        <v>15</v>
      </c>
      <c r="CD17">
        <v>6</v>
      </c>
      <c r="CE17">
        <v>3</v>
      </c>
      <c r="CF17">
        <v>3</v>
      </c>
      <c r="CG17">
        <v>3</v>
      </c>
    </row>
    <row r="18" spans="1:85" x14ac:dyDescent="0.15">
      <c r="A18" t="s">
        <v>110</v>
      </c>
      <c r="B18" t="s">
        <v>112</v>
      </c>
      <c r="C18" t="s">
        <v>106</v>
      </c>
      <c r="D18" t="s">
        <v>111</v>
      </c>
      <c r="E18" t="s">
        <v>234</v>
      </c>
      <c r="F18">
        <v>69</v>
      </c>
      <c r="G18">
        <v>50</v>
      </c>
      <c r="H18">
        <v>18</v>
      </c>
      <c r="I18">
        <v>1</v>
      </c>
      <c r="J18">
        <v>0</v>
      </c>
      <c r="K18">
        <v>3</v>
      </c>
      <c r="L18">
        <v>1</v>
      </c>
      <c r="M18">
        <v>0</v>
      </c>
      <c r="N18">
        <v>14</v>
      </c>
      <c r="O18">
        <v>7</v>
      </c>
      <c r="P18">
        <v>2</v>
      </c>
      <c r="Q18">
        <v>1</v>
      </c>
      <c r="R18">
        <v>0</v>
      </c>
      <c r="S18">
        <v>0</v>
      </c>
      <c r="T18">
        <v>1</v>
      </c>
      <c r="U18">
        <v>0</v>
      </c>
      <c r="V18">
        <v>25</v>
      </c>
      <c r="W18">
        <v>10</v>
      </c>
      <c r="X18">
        <v>14</v>
      </c>
      <c r="Y18">
        <v>6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5</v>
      </c>
      <c r="AH18">
        <v>2</v>
      </c>
      <c r="AI18">
        <v>14</v>
      </c>
      <c r="AJ18">
        <v>6</v>
      </c>
      <c r="AK18">
        <v>3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5</v>
      </c>
      <c r="AV18">
        <v>0</v>
      </c>
      <c r="AW18">
        <v>0</v>
      </c>
      <c r="AX18">
        <v>1</v>
      </c>
      <c r="AY18">
        <v>0</v>
      </c>
      <c r="AZ18">
        <v>3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0</v>
      </c>
      <c r="BH18">
        <v>3</v>
      </c>
      <c r="BI18">
        <v>2</v>
      </c>
      <c r="BJ18">
        <v>0</v>
      </c>
      <c r="BK18">
        <v>0</v>
      </c>
      <c r="BL18">
        <v>0</v>
      </c>
      <c r="BM18">
        <v>1</v>
      </c>
      <c r="BN18">
        <v>14</v>
      </c>
      <c r="BO18">
        <v>7</v>
      </c>
      <c r="BP18">
        <v>2</v>
      </c>
      <c r="BQ18">
        <v>1</v>
      </c>
      <c r="BR18">
        <v>1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6</v>
      </c>
      <c r="BZ18">
        <v>2</v>
      </c>
      <c r="CA18">
        <v>0</v>
      </c>
      <c r="CB18">
        <v>0</v>
      </c>
      <c r="CC18">
        <v>0</v>
      </c>
      <c r="CD18">
        <v>6</v>
      </c>
      <c r="CE18">
        <v>3</v>
      </c>
      <c r="CF18">
        <v>1</v>
      </c>
      <c r="CG18">
        <v>1</v>
      </c>
    </row>
    <row r="19" spans="1:85" x14ac:dyDescent="0.15">
      <c r="A19" t="s">
        <v>103</v>
      </c>
      <c r="B19" t="s">
        <v>105</v>
      </c>
      <c r="C19" t="s">
        <v>106</v>
      </c>
      <c r="D19" t="s">
        <v>104</v>
      </c>
      <c r="E19" t="s">
        <v>234</v>
      </c>
      <c r="F19">
        <v>77</v>
      </c>
      <c r="G19">
        <v>48</v>
      </c>
      <c r="H19">
        <v>23</v>
      </c>
      <c r="I19">
        <v>1</v>
      </c>
      <c r="J19">
        <v>0</v>
      </c>
      <c r="K19">
        <v>3</v>
      </c>
      <c r="L19">
        <v>1</v>
      </c>
      <c r="M19">
        <v>0</v>
      </c>
      <c r="N19">
        <v>21</v>
      </c>
      <c r="O19">
        <v>15</v>
      </c>
      <c r="P19">
        <v>1</v>
      </c>
      <c r="Q19">
        <v>0</v>
      </c>
      <c r="R19">
        <v>2</v>
      </c>
      <c r="S19">
        <v>0</v>
      </c>
      <c r="T19">
        <v>0</v>
      </c>
      <c r="U19">
        <v>0</v>
      </c>
      <c r="V19">
        <v>16</v>
      </c>
      <c r="W19">
        <v>7</v>
      </c>
      <c r="X19">
        <v>6</v>
      </c>
      <c r="Y19">
        <v>1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4</v>
      </c>
      <c r="AH19">
        <v>2</v>
      </c>
      <c r="AI19">
        <v>6</v>
      </c>
      <c r="AJ19">
        <v>1</v>
      </c>
      <c r="AK19">
        <v>1</v>
      </c>
      <c r="AL19">
        <v>0</v>
      </c>
      <c r="AM19">
        <v>0</v>
      </c>
      <c r="AN19">
        <v>0</v>
      </c>
      <c r="AO19">
        <v>1</v>
      </c>
      <c r="AP19">
        <v>0</v>
      </c>
      <c r="AQ19">
        <v>0</v>
      </c>
      <c r="AR19">
        <v>0</v>
      </c>
      <c r="AS19">
        <v>0</v>
      </c>
      <c r="AT19">
        <v>3</v>
      </c>
      <c r="AU19">
        <v>4</v>
      </c>
      <c r="AV19">
        <v>0</v>
      </c>
      <c r="AW19">
        <v>0</v>
      </c>
      <c r="AX19">
        <v>1</v>
      </c>
      <c r="AY19">
        <v>0</v>
      </c>
      <c r="AZ19">
        <v>3</v>
      </c>
      <c r="BA19">
        <v>1</v>
      </c>
      <c r="BB19">
        <v>0</v>
      </c>
      <c r="BC19">
        <v>0</v>
      </c>
      <c r="BD19">
        <v>2</v>
      </c>
      <c r="BE19">
        <v>0</v>
      </c>
      <c r="BF19">
        <v>0</v>
      </c>
      <c r="BG19">
        <v>0</v>
      </c>
      <c r="BH19">
        <v>5</v>
      </c>
      <c r="BI19">
        <v>4</v>
      </c>
      <c r="BJ19">
        <v>0</v>
      </c>
      <c r="BK19">
        <v>0</v>
      </c>
      <c r="BL19">
        <v>0</v>
      </c>
      <c r="BM19">
        <v>2</v>
      </c>
      <c r="BN19">
        <v>21</v>
      </c>
      <c r="BO19">
        <v>15</v>
      </c>
      <c r="BP19">
        <v>1</v>
      </c>
      <c r="BQ19">
        <v>0</v>
      </c>
      <c r="BR19">
        <v>0</v>
      </c>
      <c r="BS19">
        <v>0</v>
      </c>
      <c r="BT19">
        <v>2</v>
      </c>
      <c r="BU19">
        <v>0</v>
      </c>
      <c r="BV19">
        <v>0</v>
      </c>
      <c r="BW19">
        <v>0</v>
      </c>
      <c r="BX19">
        <v>0</v>
      </c>
      <c r="BY19">
        <v>1</v>
      </c>
      <c r="BZ19">
        <v>1</v>
      </c>
      <c r="CA19">
        <v>0</v>
      </c>
      <c r="CB19">
        <v>0</v>
      </c>
      <c r="CC19">
        <v>0</v>
      </c>
      <c r="CD19">
        <v>5</v>
      </c>
      <c r="CE19">
        <v>3</v>
      </c>
      <c r="CF19">
        <v>7</v>
      </c>
      <c r="CG19">
        <v>6</v>
      </c>
    </row>
  </sheetData>
  <mergeCells count="28">
    <mergeCell ref="K1:L1"/>
    <mergeCell ref="AH1:AI1"/>
    <mergeCell ref="N1:O1"/>
    <mergeCell ref="AA1:AB1"/>
    <mergeCell ref="P1:Q1"/>
    <mergeCell ref="AS1:AT1"/>
    <mergeCell ref="V1:W1"/>
    <mergeCell ref="AQ1:AR1"/>
    <mergeCell ref="BE1:BF1"/>
    <mergeCell ref="AN1:AO1"/>
    <mergeCell ref="BG1:BH1"/>
    <mergeCell ref="BQ1:BR1"/>
    <mergeCell ref="CE1:CF1"/>
    <mergeCell ref="BZ1:CA1"/>
    <mergeCell ref="CG1:CH1"/>
    <mergeCell ref="G1:H1"/>
    <mergeCell ref="X1:Y1"/>
    <mergeCell ref="BA1:BB1"/>
    <mergeCell ref="AJ1:AK1"/>
    <mergeCell ref="AL1:AM1"/>
    <mergeCell ref="BI1:BJ1"/>
    <mergeCell ref="CB1:CC1"/>
    <mergeCell ref="BO1:BP1"/>
    <mergeCell ref="R1:S1"/>
    <mergeCell ref="BS1:BT1"/>
    <mergeCell ref="BU1:BV1"/>
    <mergeCell ref="T1:U1"/>
    <mergeCell ref="AC1:AD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5" t="s">
        <v>199</v>
      </c>
      <c r="H1" s="5"/>
      <c r="I1" t="s">
        <v>7</v>
      </c>
      <c r="J1" t="s">
        <v>200</v>
      </c>
      <c r="K1" s="5" t="s">
        <v>201</v>
      </c>
      <c r="L1" s="5"/>
      <c r="M1" t="s">
        <v>8</v>
      </c>
      <c r="N1" s="5" t="s">
        <v>202</v>
      </c>
      <c r="O1" s="5"/>
      <c r="P1" s="5" t="s">
        <v>203</v>
      </c>
      <c r="Q1" s="5"/>
      <c r="R1" s="5" t="s">
        <v>204</v>
      </c>
      <c r="S1" s="5"/>
      <c r="T1" s="5" t="s">
        <v>205</v>
      </c>
      <c r="U1" s="5"/>
      <c r="V1" s="5" t="s">
        <v>206</v>
      </c>
      <c r="W1" s="5"/>
      <c r="X1" s="5" t="s">
        <v>207</v>
      </c>
      <c r="Y1" s="5"/>
      <c r="Z1" t="s">
        <v>161</v>
      </c>
      <c r="AA1" s="5" t="s">
        <v>208</v>
      </c>
      <c r="AB1" s="5"/>
      <c r="AC1" s="5" t="s">
        <v>209</v>
      </c>
      <c r="AD1" s="5"/>
      <c r="AE1" t="s">
        <v>210</v>
      </c>
      <c r="AF1" t="s">
        <v>211</v>
      </c>
      <c r="AG1" s="5" t="s">
        <v>212</v>
      </c>
      <c r="AH1" s="5"/>
      <c r="AI1" s="5" t="s">
        <v>207</v>
      </c>
      <c r="AJ1" s="5"/>
      <c r="AK1" s="5" t="s">
        <v>213</v>
      </c>
      <c r="AL1" s="5"/>
      <c r="AM1" s="5" t="s">
        <v>214</v>
      </c>
      <c r="AN1" s="5"/>
      <c r="AO1" t="s">
        <v>161</v>
      </c>
      <c r="AP1" s="5" t="s">
        <v>208</v>
      </c>
      <c r="AQ1" s="5"/>
      <c r="AR1" s="5" t="s">
        <v>209</v>
      </c>
      <c r="AS1" s="5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5" t="s">
        <v>201</v>
      </c>
      <c r="BA1" s="5"/>
      <c r="BB1" t="s">
        <v>8</v>
      </c>
      <c r="BC1" t="s">
        <v>215</v>
      </c>
      <c r="BD1" s="5" t="s">
        <v>204</v>
      </c>
      <c r="BE1" s="5"/>
      <c r="BF1" s="5" t="s">
        <v>205</v>
      </c>
      <c r="BG1" s="5"/>
      <c r="BH1" s="5" t="s">
        <v>216</v>
      </c>
      <c r="BI1" s="5"/>
      <c r="BJ1" t="s">
        <v>217</v>
      </c>
      <c r="BK1" t="s">
        <v>146</v>
      </c>
      <c r="BL1" t="s">
        <v>218</v>
      </c>
      <c r="BM1" t="s">
        <v>219</v>
      </c>
      <c r="BN1" s="5" t="s">
        <v>202</v>
      </c>
      <c r="BO1" s="5"/>
      <c r="BP1" s="5" t="s">
        <v>203</v>
      </c>
      <c r="BQ1" s="5"/>
      <c r="BR1" s="5" t="s">
        <v>220</v>
      </c>
      <c r="BS1" s="5"/>
      <c r="BT1" s="5" t="s">
        <v>204</v>
      </c>
      <c r="BU1" s="5"/>
      <c r="BV1" t="s">
        <v>200</v>
      </c>
      <c r="BW1" t="s">
        <v>221</v>
      </c>
      <c r="BX1" t="s">
        <v>222</v>
      </c>
      <c r="BY1" s="5" t="s">
        <v>223</v>
      </c>
      <c r="BZ1" s="5"/>
      <c r="CA1" s="5" t="s">
        <v>224</v>
      </c>
      <c r="CB1" s="5"/>
      <c r="CC1" t="s">
        <v>225</v>
      </c>
      <c r="CD1" s="5" t="s">
        <v>226</v>
      </c>
      <c r="CE1" s="5"/>
      <c r="CF1" s="5" t="s">
        <v>227</v>
      </c>
      <c r="CG1" s="5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257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260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236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257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261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64</v>
      </c>
      <c r="B13" t="s">
        <v>66</v>
      </c>
      <c r="C13" t="s">
        <v>32</v>
      </c>
      <c r="D13" t="s">
        <v>78</v>
      </c>
      <c r="E13" t="s">
        <v>261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69</v>
      </c>
      <c r="B14" t="s">
        <v>71</v>
      </c>
      <c r="C14" t="s">
        <v>32</v>
      </c>
      <c r="D14" t="s">
        <v>81</v>
      </c>
      <c r="E14" t="s">
        <v>233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262</v>
      </c>
      <c r="F2">
        <v>102</v>
      </c>
      <c r="G2">
        <v>64</v>
      </c>
      <c r="H2">
        <v>40</v>
      </c>
      <c r="I2">
        <v>0</v>
      </c>
      <c r="J2">
        <v>0</v>
      </c>
      <c r="K2">
        <v>0</v>
      </c>
      <c r="L2">
        <v>0</v>
      </c>
      <c r="M2">
        <v>0.09</v>
      </c>
      <c r="N2">
        <v>42</v>
      </c>
      <c r="O2">
        <v>31</v>
      </c>
      <c r="P2">
        <v>4</v>
      </c>
      <c r="Q2">
        <v>1</v>
      </c>
      <c r="R2">
        <v>6</v>
      </c>
      <c r="S2">
        <v>1</v>
      </c>
      <c r="T2">
        <v>0</v>
      </c>
      <c r="U2">
        <v>0</v>
      </c>
      <c r="V2">
        <v>14</v>
      </c>
      <c r="W2">
        <v>6</v>
      </c>
      <c r="X2">
        <v>1</v>
      </c>
      <c r="Y2">
        <v>1</v>
      </c>
      <c r="Z2">
        <v>6</v>
      </c>
      <c r="AA2">
        <v>14</v>
      </c>
      <c r="AB2">
        <v>2</v>
      </c>
      <c r="AC2">
        <v>7</v>
      </c>
      <c r="AD2">
        <v>2</v>
      </c>
      <c r="AE2">
        <v>0</v>
      </c>
      <c r="AF2">
        <v>0</v>
      </c>
      <c r="AG2">
        <v>7</v>
      </c>
      <c r="AH2">
        <v>3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6</v>
      </c>
      <c r="AP2">
        <v>14</v>
      </c>
      <c r="AQ2">
        <v>2</v>
      </c>
      <c r="AR2">
        <v>7</v>
      </c>
      <c r="AS2">
        <v>2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0.09</v>
      </c>
      <c r="BC2">
        <v>0</v>
      </c>
      <c r="BD2">
        <v>6</v>
      </c>
      <c r="BE2">
        <v>1</v>
      </c>
      <c r="BF2">
        <v>0</v>
      </c>
      <c r="BG2">
        <v>0</v>
      </c>
      <c r="BH2">
        <v>5</v>
      </c>
      <c r="BI2">
        <v>1</v>
      </c>
      <c r="BJ2">
        <v>0</v>
      </c>
      <c r="BK2">
        <v>0</v>
      </c>
      <c r="BL2">
        <v>0</v>
      </c>
      <c r="BM2">
        <v>2</v>
      </c>
      <c r="BN2">
        <v>42</v>
      </c>
      <c r="BO2">
        <v>31</v>
      </c>
      <c r="BP2">
        <v>4</v>
      </c>
      <c r="BQ2">
        <v>1</v>
      </c>
      <c r="BR2">
        <v>0</v>
      </c>
      <c r="BS2">
        <v>0</v>
      </c>
      <c r="BT2">
        <v>6</v>
      </c>
      <c r="BU2">
        <v>1</v>
      </c>
      <c r="BV2">
        <v>0</v>
      </c>
      <c r="BW2">
        <v>0.09</v>
      </c>
      <c r="BX2">
        <v>0</v>
      </c>
      <c r="BY2">
        <v>1</v>
      </c>
      <c r="BZ2">
        <v>1</v>
      </c>
      <c r="CA2">
        <v>0</v>
      </c>
      <c r="CB2">
        <v>0</v>
      </c>
      <c r="CC2">
        <v>34</v>
      </c>
      <c r="CD2">
        <v>9</v>
      </c>
      <c r="CE2">
        <v>4</v>
      </c>
      <c r="CF2">
        <v>8</v>
      </c>
      <c r="CG2">
        <v>8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262</v>
      </c>
      <c r="F3">
        <v>106</v>
      </c>
      <c r="G3">
        <v>44</v>
      </c>
      <c r="H3">
        <v>17</v>
      </c>
      <c r="I3">
        <v>0</v>
      </c>
      <c r="J3">
        <v>0</v>
      </c>
      <c r="K3">
        <v>0</v>
      </c>
      <c r="L3">
        <v>0</v>
      </c>
      <c r="M3">
        <v>0</v>
      </c>
      <c r="N3">
        <v>15</v>
      </c>
      <c r="O3">
        <v>8</v>
      </c>
      <c r="P3">
        <v>1</v>
      </c>
      <c r="Q3">
        <v>1</v>
      </c>
      <c r="R3">
        <v>2</v>
      </c>
      <c r="S3">
        <v>0</v>
      </c>
      <c r="T3">
        <v>0</v>
      </c>
      <c r="U3">
        <v>0</v>
      </c>
      <c r="V3">
        <v>17</v>
      </c>
      <c r="W3">
        <v>9</v>
      </c>
      <c r="X3">
        <v>0</v>
      </c>
      <c r="Y3">
        <v>0</v>
      </c>
      <c r="Z3">
        <v>7</v>
      </c>
      <c r="AA3">
        <v>4</v>
      </c>
      <c r="AB3">
        <v>0</v>
      </c>
      <c r="AC3">
        <v>9</v>
      </c>
      <c r="AD3">
        <v>3</v>
      </c>
      <c r="AE3">
        <v>0</v>
      </c>
      <c r="AF3">
        <v>0</v>
      </c>
      <c r="AG3">
        <v>12</v>
      </c>
      <c r="AH3">
        <v>7</v>
      </c>
      <c r="AI3">
        <v>0</v>
      </c>
      <c r="AJ3">
        <v>0</v>
      </c>
      <c r="AK3">
        <v>0</v>
      </c>
      <c r="AL3">
        <v>0</v>
      </c>
      <c r="AM3">
        <v>1</v>
      </c>
      <c r="AN3">
        <v>1</v>
      </c>
      <c r="AO3">
        <v>7</v>
      </c>
      <c r="AP3">
        <v>4</v>
      </c>
      <c r="AQ3">
        <v>0</v>
      </c>
      <c r="AR3">
        <v>9</v>
      </c>
      <c r="AS3">
        <v>3</v>
      </c>
      <c r="AT3">
        <v>0</v>
      </c>
      <c r="AU3">
        <v>3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</v>
      </c>
      <c r="BE3">
        <v>0</v>
      </c>
      <c r="BF3">
        <v>0</v>
      </c>
      <c r="BG3">
        <v>0</v>
      </c>
      <c r="BH3">
        <v>5</v>
      </c>
      <c r="BI3">
        <v>2</v>
      </c>
      <c r="BJ3">
        <v>0</v>
      </c>
      <c r="BK3">
        <v>0</v>
      </c>
      <c r="BL3">
        <v>0</v>
      </c>
      <c r="BM3">
        <v>2</v>
      </c>
      <c r="BN3">
        <v>15</v>
      </c>
      <c r="BO3">
        <v>8</v>
      </c>
      <c r="BP3">
        <v>1</v>
      </c>
      <c r="BQ3">
        <v>1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17</v>
      </c>
      <c r="CD3">
        <v>4</v>
      </c>
      <c r="CE3">
        <v>2</v>
      </c>
      <c r="CF3">
        <v>4</v>
      </c>
      <c r="CG3">
        <v>3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262</v>
      </c>
      <c r="F4">
        <v>99</v>
      </c>
      <c r="G4">
        <v>52</v>
      </c>
      <c r="H4">
        <v>20</v>
      </c>
      <c r="I4">
        <v>0</v>
      </c>
      <c r="J4">
        <v>0</v>
      </c>
      <c r="K4">
        <v>0</v>
      </c>
      <c r="L4">
        <v>0</v>
      </c>
      <c r="M4">
        <v>0</v>
      </c>
      <c r="N4">
        <v>24</v>
      </c>
      <c r="O4">
        <v>11</v>
      </c>
      <c r="P4">
        <v>4</v>
      </c>
      <c r="Q4">
        <v>1</v>
      </c>
      <c r="R4">
        <v>2</v>
      </c>
      <c r="S4">
        <v>1</v>
      </c>
      <c r="T4">
        <v>0</v>
      </c>
      <c r="U4">
        <v>0</v>
      </c>
      <c r="V4">
        <v>16</v>
      </c>
      <c r="W4">
        <v>8</v>
      </c>
      <c r="X4">
        <v>6</v>
      </c>
      <c r="Y4">
        <v>2</v>
      </c>
      <c r="Z4">
        <v>7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6</v>
      </c>
      <c r="AH4">
        <v>4</v>
      </c>
      <c r="AI4">
        <v>6</v>
      </c>
      <c r="AJ4">
        <v>2</v>
      </c>
      <c r="AK4">
        <v>2</v>
      </c>
      <c r="AL4">
        <v>1</v>
      </c>
      <c r="AM4">
        <v>0</v>
      </c>
      <c r="AN4">
        <v>0</v>
      </c>
      <c r="AO4">
        <v>7</v>
      </c>
      <c r="AP4">
        <v>0</v>
      </c>
      <c r="AQ4">
        <v>0</v>
      </c>
      <c r="AR4">
        <v>0</v>
      </c>
      <c r="AS4">
        <v>0</v>
      </c>
      <c r="AT4">
        <v>1</v>
      </c>
      <c r="AU4">
        <v>2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3</v>
      </c>
      <c r="BN4">
        <v>24</v>
      </c>
      <c r="BO4">
        <v>11</v>
      </c>
      <c r="BP4">
        <v>4</v>
      </c>
      <c r="BQ4">
        <v>1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3</v>
      </c>
      <c r="BZ4">
        <v>1</v>
      </c>
      <c r="CA4">
        <v>0</v>
      </c>
      <c r="CB4">
        <v>0</v>
      </c>
      <c r="CC4">
        <v>0</v>
      </c>
      <c r="CD4">
        <v>11</v>
      </c>
      <c r="CE4">
        <v>2</v>
      </c>
      <c r="CF4">
        <v>6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262</v>
      </c>
      <c r="F5">
        <v>96</v>
      </c>
      <c r="G5">
        <v>68</v>
      </c>
      <c r="H5">
        <v>41</v>
      </c>
      <c r="I5">
        <v>0</v>
      </c>
      <c r="J5">
        <v>0</v>
      </c>
      <c r="K5">
        <v>1</v>
      </c>
      <c r="L5">
        <v>0</v>
      </c>
      <c r="M5">
        <v>0</v>
      </c>
      <c r="N5">
        <v>39</v>
      </c>
      <c r="O5">
        <v>31</v>
      </c>
      <c r="P5">
        <v>3</v>
      </c>
      <c r="Q5">
        <v>1</v>
      </c>
      <c r="R5">
        <v>3</v>
      </c>
      <c r="S5">
        <v>1</v>
      </c>
      <c r="T5">
        <v>1</v>
      </c>
      <c r="U5">
        <v>0</v>
      </c>
      <c r="V5">
        <v>17</v>
      </c>
      <c r="W5">
        <v>10</v>
      </c>
      <c r="X5">
        <v>0</v>
      </c>
      <c r="Y5">
        <v>0</v>
      </c>
      <c r="Z5">
        <v>10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9</v>
      </c>
      <c r="AH5">
        <v>5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10</v>
      </c>
      <c r="AP5">
        <v>0</v>
      </c>
      <c r="AQ5">
        <v>0</v>
      </c>
      <c r="AR5">
        <v>0</v>
      </c>
      <c r="AS5">
        <v>0</v>
      </c>
      <c r="AT5">
        <v>2</v>
      </c>
      <c r="AU5">
        <v>2</v>
      </c>
      <c r="AV5">
        <v>0</v>
      </c>
      <c r="AW5">
        <v>0</v>
      </c>
      <c r="AX5">
        <v>0</v>
      </c>
      <c r="AY5">
        <v>0</v>
      </c>
      <c r="AZ5">
        <v>1</v>
      </c>
      <c r="BA5">
        <v>0</v>
      </c>
      <c r="BB5">
        <v>0</v>
      </c>
      <c r="BC5">
        <v>0</v>
      </c>
      <c r="BD5">
        <v>3</v>
      </c>
      <c r="BE5">
        <v>1</v>
      </c>
      <c r="BF5">
        <v>1</v>
      </c>
      <c r="BG5">
        <v>0</v>
      </c>
      <c r="BH5">
        <v>8</v>
      </c>
      <c r="BI5">
        <v>5</v>
      </c>
      <c r="BJ5">
        <v>0</v>
      </c>
      <c r="BK5">
        <v>0</v>
      </c>
      <c r="BL5">
        <v>0</v>
      </c>
      <c r="BM5">
        <v>5</v>
      </c>
      <c r="BN5">
        <v>39</v>
      </c>
      <c r="BO5">
        <v>31</v>
      </c>
      <c r="BP5">
        <v>3</v>
      </c>
      <c r="BQ5">
        <v>1</v>
      </c>
      <c r="BR5">
        <v>0</v>
      </c>
      <c r="BS5">
        <v>0</v>
      </c>
      <c r="BT5">
        <v>3</v>
      </c>
      <c r="BU5">
        <v>1</v>
      </c>
      <c r="BV5">
        <v>0</v>
      </c>
      <c r="BW5">
        <v>0</v>
      </c>
      <c r="BX5">
        <v>0</v>
      </c>
      <c r="BY5">
        <v>3</v>
      </c>
      <c r="BZ5">
        <v>2</v>
      </c>
      <c r="CA5">
        <v>0</v>
      </c>
      <c r="CB5">
        <v>0</v>
      </c>
      <c r="CC5">
        <v>0</v>
      </c>
      <c r="CD5">
        <v>10</v>
      </c>
      <c r="CE5">
        <v>6</v>
      </c>
      <c r="CF5">
        <v>7</v>
      </c>
      <c r="CG5">
        <v>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G5"/>
  <sheetViews>
    <sheetView zoomScale="109" workbookViewId="0">
      <selection activeCell="I3" sqref="I3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231</v>
      </c>
      <c r="F2">
        <v>102</v>
      </c>
      <c r="G2">
        <v>54</v>
      </c>
      <c r="H2">
        <v>42</v>
      </c>
      <c r="I2">
        <v>0</v>
      </c>
      <c r="J2">
        <v>1</v>
      </c>
      <c r="K2">
        <v>1</v>
      </c>
      <c r="L2">
        <v>1</v>
      </c>
      <c r="M2">
        <v>0.02</v>
      </c>
      <c r="N2">
        <v>42</v>
      </c>
      <c r="O2">
        <v>38</v>
      </c>
      <c r="P2">
        <v>4</v>
      </c>
      <c r="Q2">
        <v>3</v>
      </c>
      <c r="R2">
        <v>0</v>
      </c>
      <c r="S2">
        <v>0</v>
      </c>
      <c r="T2">
        <v>0</v>
      </c>
      <c r="U2">
        <v>0</v>
      </c>
      <c r="V2">
        <v>4</v>
      </c>
      <c r="W2">
        <v>1</v>
      </c>
      <c r="X2">
        <v>1</v>
      </c>
      <c r="Y2">
        <v>1</v>
      </c>
      <c r="Z2">
        <v>3</v>
      </c>
      <c r="AA2">
        <v>5</v>
      </c>
      <c r="AB2">
        <v>3</v>
      </c>
      <c r="AC2">
        <v>7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1</v>
      </c>
      <c r="AL2">
        <v>0</v>
      </c>
      <c r="AM2">
        <v>0</v>
      </c>
      <c r="AN2">
        <v>0</v>
      </c>
      <c r="AO2">
        <v>3</v>
      </c>
      <c r="AP2">
        <v>5</v>
      </c>
      <c r="AQ2">
        <v>3</v>
      </c>
      <c r="AR2">
        <v>7</v>
      </c>
      <c r="AS2">
        <v>0</v>
      </c>
      <c r="AT2">
        <v>0</v>
      </c>
      <c r="AU2">
        <v>1</v>
      </c>
      <c r="AV2">
        <v>1</v>
      </c>
      <c r="AW2">
        <v>0</v>
      </c>
      <c r="AX2">
        <v>1</v>
      </c>
      <c r="AY2">
        <v>0</v>
      </c>
      <c r="AZ2">
        <v>1</v>
      </c>
      <c r="BA2">
        <v>1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1</v>
      </c>
      <c r="BK2">
        <v>0</v>
      </c>
      <c r="BL2">
        <v>0</v>
      </c>
      <c r="BM2">
        <v>0</v>
      </c>
      <c r="BN2">
        <v>42</v>
      </c>
      <c r="BO2">
        <v>38</v>
      </c>
      <c r="BP2">
        <v>4</v>
      </c>
      <c r="BQ2">
        <v>3</v>
      </c>
      <c r="BR2">
        <v>1</v>
      </c>
      <c r="BS2">
        <v>1</v>
      </c>
      <c r="BT2">
        <v>0</v>
      </c>
      <c r="BU2">
        <v>0</v>
      </c>
      <c r="BV2">
        <v>0</v>
      </c>
      <c r="BW2">
        <v>0.25</v>
      </c>
      <c r="BX2">
        <v>0</v>
      </c>
      <c r="BY2">
        <v>5</v>
      </c>
      <c r="BZ2">
        <v>4</v>
      </c>
      <c r="CA2">
        <v>1</v>
      </c>
      <c r="CB2">
        <v>1</v>
      </c>
      <c r="CC2">
        <v>33</v>
      </c>
      <c r="CD2">
        <v>17</v>
      </c>
      <c r="CE2">
        <v>13</v>
      </c>
      <c r="CF2">
        <v>2</v>
      </c>
      <c r="CG2">
        <v>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231</v>
      </c>
      <c r="F3">
        <v>106</v>
      </c>
      <c r="G3">
        <v>36</v>
      </c>
      <c r="H3">
        <v>19</v>
      </c>
      <c r="I3">
        <v>0</v>
      </c>
      <c r="J3">
        <v>0</v>
      </c>
      <c r="K3">
        <v>1</v>
      </c>
      <c r="L3">
        <v>0</v>
      </c>
      <c r="M3">
        <v>0</v>
      </c>
      <c r="N3">
        <v>20</v>
      </c>
      <c r="O3">
        <v>14</v>
      </c>
      <c r="P3">
        <v>5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3</v>
      </c>
      <c r="X3">
        <v>0</v>
      </c>
      <c r="Y3">
        <v>0</v>
      </c>
      <c r="Z3">
        <v>8</v>
      </c>
      <c r="AA3">
        <v>5</v>
      </c>
      <c r="AB3">
        <v>1</v>
      </c>
      <c r="AC3">
        <v>7</v>
      </c>
      <c r="AD3">
        <v>0</v>
      </c>
      <c r="AE3">
        <v>0</v>
      </c>
      <c r="AF3">
        <v>0</v>
      </c>
      <c r="AG3">
        <v>4</v>
      </c>
      <c r="AH3">
        <v>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5</v>
      </c>
      <c r="AQ3">
        <v>1</v>
      </c>
      <c r="AR3">
        <v>7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0</v>
      </c>
      <c r="BM3">
        <v>0</v>
      </c>
      <c r="BN3">
        <v>20</v>
      </c>
      <c r="BO3">
        <v>14</v>
      </c>
      <c r="BP3">
        <v>5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0</v>
      </c>
      <c r="CB3">
        <v>0</v>
      </c>
      <c r="CC3">
        <v>24</v>
      </c>
      <c r="CD3">
        <v>6</v>
      </c>
      <c r="CE3">
        <v>4</v>
      </c>
      <c r="CF3">
        <v>1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231</v>
      </c>
      <c r="F4">
        <v>99</v>
      </c>
      <c r="G4">
        <v>38</v>
      </c>
      <c r="H4">
        <v>22</v>
      </c>
      <c r="I4">
        <v>0</v>
      </c>
      <c r="J4">
        <v>1</v>
      </c>
      <c r="K4">
        <v>1</v>
      </c>
      <c r="L4">
        <v>0</v>
      </c>
      <c r="M4">
        <v>0</v>
      </c>
      <c r="N4">
        <v>24</v>
      </c>
      <c r="O4">
        <v>18</v>
      </c>
      <c r="P4">
        <v>4</v>
      </c>
      <c r="Q4">
        <v>1</v>
      </c>
      <c r="R4">
        <v>1</v>
      </c>
      <c r="S4">
        <v>1</v>
      </c>
      <c r="T4">
        <v>0</v>
      </c>
      <c r="U4">
        <v>0</v>
      </c>
      <c r="V4">
        <v>6</v>
      </c>
      <c r="W4">
        <v>3</v>
      </c>
      <c r="X4">
        <v>1</v>
      </c>
      <c r="Y4">
        <v>0</v>
      </c>
      <c r="Z4">
        <v>6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6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1</v>
      </c>
      <c r="AZ4">
        <v>1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24</v>
      </c>
      <c r="BO4">
        <v>18</v>
      </c>
      <c r="BP4">
        <v>4</v>
      </c>
      <c r="BQ4">
        <v>1</v>
      </c>
      <c r="BR4">
        <v>0</v>
      </c>
      <c r="BS4">
        <v>0</v>
      </c>
      <c r="BT4">
        <v>1</v>
      </c>
      <c r="BU4">
        <v>1</v>
      </c>
      <c r="BV4">
        <v>1</v>
      </c>
      <c r="BW4">
        <v>0</v>
      </c>
      <c r="BX4">
        <v>0</v>
      </c>
      <c r="BY4">
        <v>5</v>
      </c>
      <c r="BZ4">
        <v>3</v>
      </c>
      <c r="CA4">
        <v>0</v>
      </c>
      <c r="CB4">
        <v>0</v>
      </c>
      <c r="CC4">
        <v>0</v>
      </c>
      <c r="CD4">
        <v>13</v>
      </c>
      <c r="CE4">
        <v>9</v>
      </c>
      <c r="CF4">
        <v>4</v>
      </c>
      <c r="CG4">
        <v>3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231</v>
      </c>
      <c r="F5">
        <v>96</v>
      </c>
      <c r="G5">
        <v>68</v>
      </c>
      <c r="H5">
        <v>57</v>
      </c>
      <c r="I5">
        <v>0</v>
      </c>
      <c r="J5">
        <v>0</v>
      </c>
      <c r="K5">
        <v>0</v>
      </c>
      <c r="L5">
        <v>0</v>
      </c>
      <c r="M5">
        <v>0</v>
      </c>
      <c r="N5">
        <v>55</v>
      </c>
      <c r="O5">
        <v>50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3</v>
      </c>
      <c r="Y5">
        <v>2</v>
      </c>
      <c r="Z5">
        <v>2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3</v>
      </c>
      <c r="AH5">
        <v>1</v>
      </c>
      <c r="AI5">
        <v>3</v>
      </c>
      <c r="AJ5">
        <v>2</v>
      </c>
      <c r="AK5">
        <v>0</v>
      </c>
      <c r="AL5">
        <v>0</v>
      </c>
      <c r="AM5">
        <v>1</v>
      </c>
      <c r="AN5">
        <v>1</v>
      </c>
      <c r="AO5">
        <v>2</v>
      </c>
      <c r="AP5">
        <v>0</v>
      </c>
      <c r="AQ5">
        <v>0</v>
      </c>
      <c r="AR5">
        <v>0</v>
      </c>
      <c r="AS5">
        <v>0</v>
      </c>
      <c r="AT5">
        <v>4</v>
      </c>
      <c r="AU5">
        <v>1</v>
      </c>
      <c r="AV5">
        <v>1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1</v>
      </c>
      <c r="BN5">
        <v>55</v>
      </c>
      <c r="BO5">
        <v>50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5</v>
      </c>
      <c r="BZ5">
        <v>2</v>
      </c>
      <c r="CA5">
        <v>0</v>
      </c>
      <c r="CB5">
        <v>0</v>
      </c>
      <c r="CC5">
        <v>0</v>
      </c>
      <c r="CD5">
        <v>19</v>
      </c>
      <c r="CE5">
        <v>15</v>
      </c>
      <c r="CF5">
        <v>0</v>
      </c>
      <c r="CG5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243</v>
      </c>
      <c r="F2">
        <v>102</v>
      </c>
      <c r="G2">
        <v>98</v>
      </c>
      <c r="H2">
        <v>80</v>
      </c>
      <c r="I2">
        <v>0</v>
      </c>
      <c r="J2">
        <v>0</v>
      </c>
      <c r="K2">
        <v>0</v>
      </c>
      <c r="L2">
        <v>0</v>
      </c>
      <c r="M2">
        <v>0.23</v>
      </c>
      <c r="N2">
        <v>81</v>
      </c>
      <c r="O2">
        <v>72</v>
      </c>
      <c r="P2">
        <v>10</v>
      </c>
      <c r="Q2">
        <v>9</v>
      </c>
      <c r="R2">
        <v>2</v>
      </c>
      <c r="S2">
        <v>1</v>
      </c>
      <c r="T2">
        <v>0</v>
      </c>
      <c r="U2">
        <v>0</v>
      </c>
      <c r="V2">
        <v>7</v>
      </c>
      <c r="W2">
        <v>5</v>
      </c>
      <c r="X2">
        <v>0</v>
      </c>
      <c r="Y2">
        <v>0</v>
      </c>
      <c r="Z2">
        <v>5</v>
      </c>
      <c r="AA2">
        <v>9</v>
      </c>
      <c r="AB2">
        <v>1</v>
      </c>
      <c r="AC2">
        <v>11</v>
      </c>
      <c r="AD2">
        <v>4</v>
      </c>
      <c r="AE2">
        <v>0</v>
      </c>
      <c r="AF2">
        <v>0</v>
      </c>
      <c r="AG2">
        <v>3</v>
      </c>
      <c r="AH2">
        <v>2</v>
      </c>
      <c r="AI2">
        <v>0</v>
      </c>
      <c r="AJ2">
        <v>0</v>
      </c>
      <c r="AK2">
        <v>2</v>
      </c>
      <c r="AL2">
        <v>2</v>
      </c>
      <c r="AM2">
        <v>1</v>
      </c>
      <c r="AN2">
        <v>1</v>
      </c>
      <c r="AO2">
        <v>5</v>
      </c>
      <c r="AP2">
        <v>9</v>
      </c>
      <c r="AQ2">
        <v>1</v>
      </c>
      <c r="AR2">
        <v>11</v>
      </c>
      <c r="AS2">
        <v>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0.23</v>
      </c>
      <c r="BC2">
        <v>0</v>
      </c>
      <c r="BD2">
        <v>2</v>
      </c>
      <c r="BE2">
        <v>1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81</v>
      </c>
      <c r="BO2">
        <v>72</v>
      </c>
      <c r="BP2">
        <v>10</v>
      </c>
      <c r="BQ2">
        <v>9</v>
      </c>
      <c r="BR2">
        <v>1</v>
      </c>
      <c r="BS2">
        <v>1</v>
      </c>
      <c r="BT2">
        <v>2</v>
      </c>
      <c r="BU2">
        <v>1</v>
      </c>
      <c r="BV2">
        <v>0</v>
      </c>
      <c r="BW2">
        <v>0.23</v>
      </c>
      <c r="BX2">
        <v>0</v>
      </c>
      <c r="BY2">
        <v>17</v>
      </c>
      <c r="BZ2">
        <v>14</v>
      </c>
      <c r="CA2">
        <v>1</v>
      </c>
      <c r="CB2">
        <v>1</v>
      </c>
      <c r="CC2">
        <v>64</v>
      </c>
      <c r="CD2">
        <v>21</v>
      </c>
      <c r="CE2">
        <v>17</v>
      </c>
      <c r="CF2">
        <v>14</v>
      </c>
      <c r="CG2">
        <v>12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235</v>
      </c>
      <c r="F3">
        <v>93</v>
      </c>
      <c r="G3">
        <v>32</v>
      </c>
      <c r="H3">
        <v>19</v>
      </c>
      <c r="I3">
        <v>0</v>
      </c>
      <c r="J3">
        <v>0</v>
      </c>
      <c r="K3">
        <v>2</v>
      </c>
      <c r="L3">
        <v>0</v>
      </c>
      <c r="M3">
        <v>0.01</v>
      </c>
      <c r="N3">
        <v>15</v>
      </c>
      <c r="O3">
        <v>12</v>
      </c>
      <c r="P3">
        <v>4</v>
      </c>
      <c r="Q3">
        <v>2</v>
      </c>
      <c r="R3">
        <v>0</v>
      </c>
      <c r="S3">
        <v>0</v>
      </c>
      <c r="T3">
        <v>0</v>
      </c>
      <c r="U3">
        <v>0</v>
      </c>
      <c r="V3">
        <v>9</v>
      </c>
      <c r="W3">
        <v>5</v>
      </c>
      <c r="X3">
        <v>2</v>
      </c>
      <c r="Y3">
        <v>1</v>
      </c>
      <c r="Z3">
        <v>2</v>
      </c>
      <c r="AA3">
        <v>2</v>
      </c>
      <c r="AB3">
        <v>0</v>
      </c>
      <c r="AC3">
        <v>8</v>
      </c>
      <c r="AD3">
        <v>4</v>
      </c>
      <c r="AE3">
        <v>0</v>
      </c>
      <c r="AF3">
        <v>0</v>
      </c>
      <c r="AG3">
        <v>4</v>
      </c>
      <c r="AH3">
        <v>3</v>
      </c>
      <c r="AI3">
        <v>2</v>
      </c>
      <c r="AJ3">
        <v>1</v>
      </c>
      <c r="AK3">
        <v>0</v>
      </c>
      <c r="AL3">
        <v>0</v>
      </c>
      <c r="AM3">
        <v>1</v>
      </c>
      <c r="AN3">
        <v>1</v>
      </c>
      <c r="AO3">
        <v>2</v>
      </c>
      <c r="AP3">
        <v>2</v>
      </c>
      <c r="AQ3">
        <v>0</v>
      </c>
      <c r="AR3">
        <v>8</v>
      </c>
      <c r="AS3">
        <v>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</v>
      </c>
      <c r="BA3">
        <v>0</v>
      </c>
      <c r="BB3">
        <v>0.01</v>
      </c>
      <c r="BC3">
        <v>0</v>
      </c>
      <c r="BD3">
        <v>0</v>
      </c>
      <c r="BE3">
        <v>0</v>
      </c>
      <c r="BF3">
        <v>0</v>
      </c>
      <c r="BG3">
        <v>0</v>
      </c>
      <c r="BH3">
        <v>2</v>
      </c>
      <c r="BI3">
        <v>1</v>
      </c>
      <c r="BJ3">
        <v>0</v>
      </c>
      <c r="BK3">
        <v>0</v>
      </c>
      <c r="BL3">
        <v>0</v>
      </c>
      <c r="BM3">
        <v>1</v>
      </c>
      <c r="BN3">
        <v>15</v>
      </c>
      <c r="BO3">
        <v>12</v>
      </c>
      <c r="BP3">
        <v>4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24</v>
      </c>
      <c r="CD3">
        <v>5</v>
      </c>
      <c r="CE3">
        <v>2</v>
      </c>
      <c r="CF3">
        <v>6</v>
      </c>
      <c r="CG3">
        <v>6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235</v>
      </c>
      <c r="F4">
        <v>99</v>
      </c>
      <c r="G4">
        <v>48</v>
      </c>
      <c r="H4">
        <v>34</v>
      </c>
      <c r="I4">
        <v>0</v>
      </c>
      <c r="J4">
        <v>0</v>
      </c>
      <c r="K4">
        <v>0</v>
      </c>
      <c r="L4">
        <v>0</v>
      </c>
      <c r="M4">
        <v>0</v>
      </c>
      <c r="N4">
        <v>27</v>
      </c>
      <c r="O4">
        <v>20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16</v>
      </c>
      <c r="W4">
        <v>13</v>
      </c>
      <c r="X4">
        <v>1</v>
      </c>
      <c r="Y4">
        <v>1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11</v>
      </c>
      <c r="AH4">
        <v>9</v>
      </c>
      <c r="AI4">
        <v>1</v>
      </c>
      <c r="AJ4">
        <v>1</v>
      </c>
      <c r="AK4">
        <v>2</v>
      </c>
      <c r="AL4">
        <v>2</v>
      </c>
      <c r="AM4">
        <v>2</v>
      </c>
      <c r="AN4">
        <v>2</v>
      </c>
      <c r="AO4">
        <v>1</v>
      </c>
      <c r="AP4">
        <v>0</v>
      </c>
      <c r="AQ4">
        <v>0</v>
      </c>
      <c r="AR4">
        <v>0</v>
      </c>
      <c r="AS4">
        <v>0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27</v>
      </c>
      <c r="BO4">
        <v>20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8</v>
      </c>
      <c r="BZ4">
        <v>4</v>
      </c>
      <c r="CA4">
        <v>0</v>
      </c>
      <c r="CB4">
        <v>0</v>
      </c>
      <c r="CC4">
        <v>0</v>
      </c>
      <c r="CD4">
        <v>12</v>
      </c>
      <c r="CE4">
        <v>8</v>
      </c>
      <c r="CF4">
        <v>4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235</v>
      </c>
      <c r="F5">
        <v>77</v>
      </c>
      <c r="G5">
        <v>54</v>
      </c>
      <c r="H5">
        <v>41</v>
      </c>
      <c r="I5">
        <v>0</v>
      </c>
      <c r="J5">
        <v>0</v>
      </c>
      <c r="K5">
        <v>0</v>
      </c>
      <c r="L5">
        <v>0</v>
      </c>
      <c r="M5">
        <v>0</v>
      </c>
      <c r="N5">
        <v>44</v>
      </c>
      <c r="O5">
        <v>39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4</v>
      </c>
      <c r="W5">
        <v>1</v>
      </c>
      <c r="X5">
        <v>0</v>
      </c>
      <c r="Y5">
        <v>0</v>
      </c>
      <c r="Z5">
        <v>4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4</v>
      </c>
      <c r="AP5">
        <v>0</v>
      </c>
      <c r="AQ5">
        <v>0</v>
      </c>
      <c r="AR5">
        <v>0</v>
      </c>
      <c r="AS5">
        <v>0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44</v>
      </c>
      <c r="BO5">
        <v>39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6</v>
      </c>
      <c r="BZ5">
        <v>3</v>
      </c>
      <c r="CA5">
        <v>0</v>
      </c>
      <c r="CB5">
        <v>0</v>
      </c>
      <c r="CC5">
        <v>0</v>
      </c>
      <c r="CD5">
        <v>12</v>
      </c>
      <c r="CE5">
        <v>7</v>
      </c>
      <c r="CF5">
        <v>7</v>
      </c>
      <c r="CG5">
        <v>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92</v>
      </c>
      <c r="G2">
        <v>26</v>
      </c>
      <c r="H2">
        <v>9</v>
      </c>
      <c r="I2">
        <v>0</v>
      </c>
      <c r="J2">
        <v>0</v>
      </c>
      <c r="K2">
        <v>1</v>
      </c>
      <c r="L2">
        <v>0</v>
      </c>
      <c r="M2">
        <v>0.1</v>
      </c>
      <c r="N2">
        <v>11</v>
      </c>
      <c r="O2">
        <v>6</v>
      </c>
      <c r="P2">
        <v>1</v>
      </c>
      <c r="Q2">
        <v>0</v>
      </c>
      <c r="R2">
        <v>1</v>
      </c>
      <c r="S2">
        <v>0</v>
      </c>
      <c r="T2">
        <v>2</v>
      </c>
      <c r="U2">
        <v>2</v>
      </c>
      <c r="V2">
        <v>11</v>
      </c>
      <c r="W2">
        <v>3</v>
      </c>
      <c r="X2">
        <v>2</v>
      </c>
      <c r="Y2">
        <v>0</v>
      </c>
      <c r="Z2">
        <v>1</v>
      </c>
      <c r="AA2">
        <v>8</v>
      </c>
      <c r="AB2">
        <v>3</v>
      </c>
      <c r="AC2">
        <v>1</v>
      </c>
      <c r="AD2">
        <v>1</v>
      </c>
      <c r="AE2">
        <v>1</v>
      </c>
      <c r="AF2">
        <v>0</v>
      </c>
      <c r="AG2">
        <v>2</v>
      </c>
      <c r="AH2">
        <v>0</v>
      </c>
      <c r="AI2">
        <v>2</v>
      </c>
      <c r="AJ2">
        <v>0</v>
      </c>
      <c r="AK2">
        <v>2</v>
      </c>
      <c r="AL2">
        <v>1</v>
      </c>
      <c r="AM2">
        <v>0</v>
      </c>
      <c r="AN2">
        <v>0</v>
      </c>
      <c r="AO2">
        <v>1</v>
      </c>
      <c r="AP2">
        <v>8</v>
      </c>
      <c r="AQ2">
        <v>3</v>
      </c>
      <c r="AR2">
        <v>1</v>
      </c>
      <c r="AS2">
        <v>1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0.1</v>
      </c>
      <c r="BC2">
        <v>0</v>
      </c>
      <c r="BD2">
        <v>1</v>
      </c>
      <c r="BE2">
        <v>0</v>
      </c>
      <c r="BF2">
        <v>2</v>
      </c>
      <c r="BG2">
        <v>2</v>
      </c>
      <c r="BH2">
        <v>5</v>
      </c>
      <c r="BI2">
        <v>2</v>
      </c>
      <c r="BJ2">
        <v>0</v>
      </c>
      <c r="BK2">
        <v>0</v>
      </c>
      <c r="BL2">
        <v>0</v>
      </c>
      <c r="BM2">
        <v>2</v>
      </c>
      <c r="BN2">
        <v>11</v>
      </c>
      <c r="BO2">
        <v>6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0</v>
      </c>
      <c r="BW2">
        <v>0.01</v>
      </c>
      <c r="BX2">
        <v>0</v>
      </c>
      <c r="BY2">
        <v>0</v>
      </c>
      <c r="BZ2">
        <v>0</v>
      </c>
      <c r="CA2">
        <v>0</v>
      </c>
      <c r="CB2">
        <v>0</v>
      </c>
      <c r="CC2">
        <v>14</v>
      </c>
      <c r="CD2">
        <v>3</v>
      </c>
      <c r="CE2">
        <v>2</v>
      </c>
      <c r="CF2">
        <v>2</v>
      </c>
      <c r="CG2">
        <v>1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93</v>
      </c>
      <c r="G3">
        <v>22</v>
      </c>
      <c r="H3">
        <v>10</v>
      </c>
      <c r="I3">
        <v>0</v>
      </c>
      <c r="J3">
        <v>1</v>
      </c>
      <c r="K3">
        <v>2</v>
      </c>
      <c r="L3">
        <v>2</v>
      </c>
      <c r="M3">
        <v>0.24</v>
      </c>
      <c r="N3">
        <v>8</v>
      </c>
      <c r="O3">
        <v>4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9</v>
      </c>
      <c r="W3">
        <v>4</v>
      </c>
      <c r="X3">
        <v>2</v>
      </c>
      <c r="Y3">
        <v>1</v>
      </c>
      <c r="Z3">
        <v>0</v>
      </c>
      <c r="AA3">
        <v>9</v>
      </c>
      <c r="AB3">
        <v>1</v>
      </c>
      <c r="AC3">
        <v>7</v>
      </c>
      <c r="AD3">
        <v>2</v>
      </c>
      <c r="AE3">
        <v>0</v>
      </c>
      <c r="AF3">
        <v>0</v>
      </c>
      <c r="AG3">
        <v>2</v>
      </c>
      <c r="AH3">
        <v>2</v>
      </c>
      <c r="AI3">
        <v>2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9</v>
      </c>
      <c r="AQ3">
        <v>1</v>
      </c>
      <c r="AR3">
        <v>7</v>
      </c>
      <c r="AS3">
        <v>2</v>
      </c>
      <c r="AT3">
        <v>0</v>
      </c>
      <c r="AU3">
        <v>0</v>
      </c>
      <c r="AV3">
        <v>0</v>
      </c>
      <c r="AW3">
        <v>0</v>
      </c>
      <c r="AX3">
        <v>0</v>
      </c>
      <c r="AY3">
        <v>1</v>
      </c>
      <c r="AZ3">
        <v>2</v>
      </c>
      <c r="BA3">
        <v>2</v>
      </c>
      <c r="BB3">
        <v>0.24</v>
      </c>
      <c r="BC3">
        <v>0</v>
      </c>
      <c r="BD3">
        <v>2</v>
      </c>
      <c r="BE3">
        <v>1</v>
      </c>
      <c r="BF3">
        <v>0</v>
      </c>
      <c r="BG3">
        <v>0</v>
      </c>
      <c r="BH3">
        <v>5</v>
      </c>
      <c r="BI3">
        <v>1</v>
      </c>
      <c r="BJ3">
        <v>0</v>
      </c>
      <c r="BK3">
        <v>0</v>
      </c>
      <c r="BL3">
        <v>0</v>
      </c>
      <c r="BM3">
        <v>2</v>
      </c>
      <c r="BN3">
        <v>8</v>
      </c>
      <c r="BO3">
        <v>4</v>
      </c>
      <c r="BP3">
        <v>1</v>
      </c>
      <c r="BQ3">
        <v>0</v>
      </c>
      <c r="BR3">
        <v>1</v>
      </c>
      <c r="BS3">
        <v>1</v>
      </c>
      <c r="BT3">
        <v>2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17</v>
      </c>
      <c r="CD3">
        <v>2</v>
      </c>
      <c r="CE3">
        <v>1</v>
      </c>
      <c r="CF3">
        <v>0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234</v>
      </c>
      <c r="F4">
        <v>78</v>
      </c>
      <c r="G4">
        <v>31</v>
      </c>
      <c r="H4">
        <v>14</v>
      </c>
      <c r="I4">
        <v>1</v>
      </c>
      <c r="J4">
        <v>0</v>
      </c>
      <c r="K4">
        <v>3</v>
      </c>
      <c r="L4">
        <v>3</v>
      </c>
      <c r="M4">
        <v>0</v>
      </c>
      <c r="N4">
        <v>12</v>
      </c>
      <c r="O4">
        <v>6</v>
      </c>
      <c r="P4">
        <v>0</v>
      </c>
      <c r="Q4">
        <v>0</v>
      </c>
      <c r="R4">
        <v>2</v>
      </c>
      <c r="S4">
        <v>1</v>
      </c>
      <c r="T4">
        <v>0</v>
      </c>
      <c r="U4">
        <v>0</v>
      </c>
      <c r="V4">
        <v>13</v>
      </c>
      <c r="W4">
        <v>5</v>
      </c>
      <c r="X4">
        <v>8</v>
      </c>
      <c r="Y4">
        <v>3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8</v>
      </c>
      <c r="AJ4">
        <v>3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1</v>
      </c>
      <c r="AY4">
        <v>0</v>
      </c>
      <c r="AZ4">
        <v>3</v>
      </c>
      <c r="BA4">
        <v>3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0</v>
      </c>
      <c r="BJ4">
        <v>0</v>
      </c>
      <c r="BK4">
        <v>0</v>
      </c>
      <c r="BL4">
        <v>0</v>
      </c>
      <c r="BM4">
        <v>0</v>
      </c>
      <c r="BN4">
        <v>12</v>
      </c>
      <c r="BO4">
        <v>6</v>
      </c>
      <c r="BP4">
        <v>0</v>
      </c>
      <c r="BQ4">
        <v>0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3</v>
      </c>
      <c r="CE4">
        <v>1</v>
      </c>
      <c r="CF4">
        <v>5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234</v>
      </c>
      <c r="F5">
        <v>77</v>
      </c>
      <c r="G5">
        <v>21</v>
      </c>
      <c r="H5">
        <v>13</v>
      </c>
      <c r="I5">
        <v>0</v>
      </c>
      <c r="J5">
        <v>1</v>
      </c>
      <c r="K5">
        <v>1</v>
      </c>
      <c r="L5">
        <v>1</v>
      </c>
      <c r="M5">
        <v>0</v>
      </c>
      <c r="N5">
        <v>9</v>
      </c>
      <c r="O5">
        <v>8</v>
      </c>
      <c r="P5">
        <v>0</v>
      </c>
      <c r="Q5">
        <v>0</v>
      </c>
      <c r="R5">
        <v>1</v>
      </c>
      <c r="S5">
        <v>1</v>
      </c>
      <c r="T5">
        <v>1</v>
      </c>
      <c r="U5">
        <v>1</v>
      </c>
      <c r="V5">
        <v>10</v>
      </c>
      <c r="W5">
        <v>4</v>
      </c>
      <c r="X5">
        <v>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2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2</v>
      </c>
      <c r="AU5">
        <v>0</v>
      </c>
      <c r="AV5">
        <v>0</v>
      </c>
      <c r="AW5">
        <v>0</v>
      </c>
      <c r="AX5">
        <v>0</v>
      </c>
      <c r="AY5">
        <v>1</v>
      </c>
      <c r="AZ5">
        <v>1</v>
      </c>
      <c r="BA5">
        <v>1</v>
      </c>
      <c r="BB5">
        <v>0</v>
      </c>
      <c r="BC5">
        <v>0</v>
      </c>
      <c r="BD5">
        <v>1</v>
      </c>
      <c r="BE5">
        <v>1</v>
      </c>
      <c r="BF5">
        <v>1</v>
      </c>
      <c r="BG5">
        <v>1</v>
      </c>
      <c r="BH5">
        <v>5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8</v>
      </c>
      <c r="BP5">
        <v>0</v>
      </c>
      <c r="BQ5">
        <v>0</v>
      </c>
      <c r="BR5">
        <v>0</v>
      </c>
      <c r="BS5">
        <v>0</v>
      </c>
      <c r="BT5">
        <v>1</v>
      </c>
      <c r="BU5">
        <v>1</v>
      </c>
      <c r="BV5">
        <v>1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2</v>
      </c>
      <c r="CE5">
        <v>1</v>
      </c>
      <c r="CF5">
        <v>1</v>
      </c>
      <c r="CG5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G4"/>
  <sheetViews>
    <sheetView workbookViewId="0">
      <selection activeCell="O28" sqref="O28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10</v>
      </c>
      <c r="G2">
        <v>8</v>
      </c>
      <c r="H2">
        <v>4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5</v>
      </c>
      <c r="W2">
        <v>3</v>
      </c>
      <c r="X2">
        <v>1</v>
      </c>
      <c r="Y2">
        <v>0</v>
      </c>
      <c r="Z2">
        <v>0</v>
      </c>
      <c r="AA2">
        <v>3</v>
      </c>
      <c r="AB2">
        <v>0</v>
      </c>
      <c r="AC2">
        <v>1</v>
      </c>
      <c r="AD2">
        <v>0</v>
      </c>
      <c r="AE2">
        <v>0</v>
      </c>
      <c r="AF2">
        <v>0</v>
      </c>
      <c r="AG2">
        <v>3</v>
      </c>
      <c r="AH2">
        <v>3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3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1</v>
      </c>
      <c r="BQ2"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0</v>
      </c>
      <c r="CB2">
        <v>0</v>
      </c>
      <c r="CC2">
        <v>3</v>
      </c>
      <c r="CD2">
        <v>2</v>
      </c>
      <c r="CE2">
        <v>1</v>
      </c>
      <c r="CF2">
        <v>0</v>
      </c>
      <c r="CG2">
        <v>0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13</v>
      </c>
      <c r="G3">
        <v>3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1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</row>
    <row r="4" spans="1:85" x14ac:dyDescent="0.15">
      <c r="A4" t="s">
        <v>103</v>
      </c>
      <c r="B4" t="s">
        <v>105</v>
      </c>
      <c r="C4" t="s">
        <v>106</v>
      </c>
      <c r="D4" t="s">
        <v>104</v>
      </c>
      <c r="E4" t="s">
        <v>251</v>
      </c>
      <c r="F4">
        <v>57</v>
      </c>
      <c r="G4">
        <v>42</v>
      </c>
      <c r="H4">
        <v>26</v>
      </c>
      <c r="I4">
        <v>0</v>
      </c>
      <c r="J4">
        <v>0</v>
      </c>
      <c r="K4">
        <v>0</v>
      </c>
      <c r="L4">
        <v>0</v>
      </c>
      <c r="M4">
        <v>0</v>
      </c>
      <c r="N4">
        <v>26</v>
      </c>
      <c r="O4">
        <v>20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6</v>
      </c>
      <c r="W4">
        <v>4</v>
      </c>
      <c r="X4">
        <v>1</v>
      </c>
      <c r="Y4">
        <v>0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2</v>
      </c>
      <c r="AH4">
        <v>1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0</v>
      </c>
      <c r="BF4">
        <v>0</v>
      </c>
      <c r="BG4">
        <v>0</v>
      </c>
      <c r="BH4">
        <v>3</v>
      </c>
      <c r="BI4">
        <v>3</v>
      </c>
      <c r="BJ4">
        <v>0</v>
      </c>
      <c r="BK4">
        <v>0</v>
      </c>
      <c r="BL4">
        <v>0</v>
      </c>
      <c r="BM4">
        <v>2</v>
      </c>
      <c r="BN4">
        <v>26</v>
      </c>
      <c r="BO4">
        <v>20</v>
      </c>
      <c r="BP4">
        <v>0</v>
      </c>
      <c r="BQ4">
        <v>0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5</v>
      </c>
      <c r="CE4">
        <v>4</v>
      </c>
      <c r="CF4">
        <v>7</v>
      </c>
      <c r="CG4">
        <v>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116</v>
      </c>
      <c r="B2" t="s">
        <v>118</v>
      </c>
      <c r="C2" t="s">
        <v>106</v>
      </c>
      <c r="D2" t="s">
        <v>117</v>
      </c>
      <c r="E2" t="s">
        <v>235</v>
      </c>
      <c r="F2">
        <v>36</v>
      </c>
      <c r="G2">
        <v>9</v>
      </c>
      <c r="H2">
        <v>6</v>
      </c>
      <c r="I2">
        <v>1</v>
      </c>
      <c r="J2">
        <v>0</v>
      </c>
      <c r="K2">
        <v>2</v>
      </c>
      <c r="L2">
        <v>2</v>
      </c>
      <c r="M2">
        <v>0.21</v>
      </c>
      <c r="N2">
        <v>3</v>
      </c>
      <c r="O2">
        <v>2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3</v>
      </c>
      <c r="W2">
        <v>2</v>
      </c>
      <c r="X2">
        <v>0</v>
      </c>
      <c r="Y2">
        <v>0</v>
      </c>
      <c r="Z2">
        <v>1</v>
      </c>
      <c r="AA2">
        <v>0</v>
      </c>
      <c r="AB2">
        <v>0</v>
      </c>
      <c r="AC2">
        <v>3</v>
      </c>
      <c r="AD2">
        <v>0</v>
      </c>
      <c r="AE2">
        <v>0</v>
      </c>
      <c r="AF2">
        <v>0</v>
      </c>
      <c r="AG2">
        <v>2</v>
      </c>
      <c r="AH2">
        <v>2</v>
      </c>
      <c r="AI2">
        <v>0</v>
      </c>
      <c r="AJ2">
        <v>0</v>
      </c>
      <c r="AK2">
        <v>0</v>
      </c>
      <c r="AL2">
        <v>0</v>
      </c>
      <c r="AM2">
        <v>1</v>
      </c>
      <c r="AN2">
        <v>1</v>
      </c>
      <c r="AO2">
        <v>1</v>
      </c>
      <c r="AP2">
        <v>0</v>
      </c>
      <c r="AQ2">
        <v>0</v>
      </c>
      <c r="AR2">
        <v>3</v>
      </c>
      <c r="AS2">
        <v>0</v>
      </c>
      <c r="AT2">
        <v>0</v>
      </c>
      <c r="AU2">
        <v>0</v>
      </c>
      <c r="AV2">
        <v>0</v>
      </c>
      <c r="AW2">
        <v>0</v>
      </c>
      <c r="AX2">
        <v>1</v>
      </c>
      <c r="AY2">
        <v>0</v>
      </c>
      <c r="AZ2">
        <v>2</v>
      </c>
      <c r="BA2">
        <v>2</v>
      </c>
      <c r="BB2">
        <v>0.21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2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4</v>
      </c>
      <c r="CD2">
        <v>3</v>
      </c>
      <c r="CE2">
        <v>3</v>
      </c>
      <c r="CF2">
        <v>0</v>
      </c>
      <c r="CG2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146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234</v>
      </c>
      <c r="F2">
        <v>39</v>
      </c>
      <c r="G2">
        <v>7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4</v>
      </c>
      <c r="W2">
        <v>0</v>
      </c>
      <c r="X2">
        <v>2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2</v>
      </c>
      <c r="CE2">
        <v>0</v>
      </c>
      <c r="CF2">
        <v>1</v>
      </c>
      <c r="CG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30</vt:i4>
      </vt:variant>
    </vt:vector>
  </HeadingPairs>
  <TitlesOfParts>
    <vt:vector size="30" baseType="lpstr">
      <vt:lpstr>Stats gen N2</vt:lpstr>
      <vt:lpstr>Stats gen L3</vt:lpstr>
      <vt:lpstr>Stats off N2</vt:lpstr>
      <vt:lpstr>Stats off L3</vt:lpstr>
      <vt:lpstr>Stats def N2</vt:lpstr>
      <vt:lpstr>Stats def L3</vt:lpstr>
      <vt:lpstr>Stats pass N2</vt:lpstr>
      <vt:lpstr>Stats pass L3</vt:lpstr>
      <vt:lpstr>Stats index N2</vt:lpstr>
      <vt:lpstr>Stats index L3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  <vt:lpstr>Bourama Diarra</vt:lpstr>
      <vt:lpstr>Joseph Atangana</vt:lpstr>
      <vt:lpstr>Enzo Montet</vt:lpstr>
      <vt:lpstr>Kylian Tubio</vt:lpstr>
      <vt:lpstr>Gauthier Laurens</vt:lpstr>
      <vt:lpstr>Fadel Gobitaka</vt:lpstr>
      <vt:lpstr>Simon Kalambayi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Dendani</cp:lastModifiedBy>
  <dcterms:created xsi:type="dcterms:W3CDTF">2026-08-13T11:42:25Z</dcterms:created>
  <dcterms:modified xsi:type="dcterms:W3CDTF">2026-08-31T11:33:14Z</dcterms:modified>
</cp:coreProperties>
</file>