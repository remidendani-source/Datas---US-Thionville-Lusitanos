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rmdendani/Desktop/dashboard_lusitanos/"/>
    </mc:Choice>
  </mc:AlternateContent>
  <xr:revisionPtr revIDLastSave="0" documentId="13_ncr:1_{B0E182F8-2862-0A46-887D-9E853BD0BA82}" xr6:coauthVersionLast="47" xr6:coauthVersionMax="47" xr10:uidLastSave="{00000000-0000-0000-0000-000000000000}"/>
  <bookViews>
    <workbookView xWindow="1020" yWindow="660" windowWidth="25440" windowHeight="18460" activeTab="9" xr2:uid="{00000000-000D-0000-FFFF-FFFF00000000}"/>
  </bookViews>
  <sheets>
    <sheet name="Stats gen N2" sheetId="1" r:id="rId1"/>
    <sheet name="Stats gen L3" sheetId="2" r:id="rId2"/>
    <sheet name="Stats off N2" sheetId="3" r:id="rId3"/>
    <sheet name="Stats off L3" sheetId="4" r:id="rId4"/>
    <sheet name="Stats def N2" sheetId="5" r:id="rId5"/>
    <sheet name="Stats def L3" sheetId="6" r:id="rId6"/>
    <sheet name="Stats pass N2" sheetId="7" r:id="rId7"/>
    <sheet name="Stats pass L3" sheetId="8" r:id="rId8"/>
    <sheet name="Stats index N2" sheetId="9" r:id="rId9"/>
    <sheet name="Stats index L3" sheetId="10" r:id="rId10"/>
    <sheet name="Samir Bouzar" sheetId="11" r:id="rId11"/>
    <sheet name="Cachito Wanduka" sheetId="12" r:id="rId12"/>
    <sheet name="Marly Rampont" sheetId="13" r:id="rId13"/>
    <sheet name="Muamer Aljic" sheetId="14" r:id="rId14"/>
    <sheet name="David Luvualu" sheetId="15" r:id="rId15"/>
    <sheet name="Jérémy Lauratet" sheetId="16" r:id="rId16"/>
    <sheet name="Samed Kilic" sheetId="17" r:id="rId17"/>
    <sheet name="Jalil Moustaid" sheetId="18" r:id="rId18"/>
    <sheet name="Clément Couturier" sheetId="19" r:id="rId19"/>
    <sheet name="Bryan Labissière" sheetId="20" r:id="rId20"/>
    <sheet name="Alexis Gouletquer" sheetId="21" r:id="rId21"/>
    <sheet name="Karim Bouhmidi" sheetId="22" r:id="rId22"/>
    <sheet name="Chafik Gourichy" sheetId="23" r:id="rId23"/>
    <sheet name="Bourama Diarra" sheetId="24" r:id="rId24"/>
    <sheet name="Jérémy Atangana" sheetId="25" r:id="rId25"/>
    <sheet name="Emmanuel Montet" sheetId="26" r:id="rId26"/>
    <sheet name="Kyllian Tubio" sheetId="27" r:id="rId27"/>
    <sheet name="Gauthier Laurens" sheetId="28" r:id="rId28"/>
    <sheet name="Fadel Gobitaka" sheetId="2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8" l="1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M3" i="9"/>
  <c r="L3" i="9"/>
  <c r="K3" i="9"/>
  <c r="J3" i="9"/>
  <c r="I3" i="9"/>
  <c r="H3" i="9"/>
  <c r="M2" i="9"/>
  <c r="L2" i="9"/>
  <c r="K2" i="9"/>
  <c r="J2" i="9"/>
  <c r="I2" i="9"/>
  <c r="H2" i="9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</calcChain>
</file>

<file path=xl/sharedStrings.xml><?xml version="1.0" encoding="utf-8"?>
<sst xmlns="http://schemas.openxmlformats.org/spreadsheetml/2006/main" count="2908" uniqueCount="251">
  <si>
    <t>Journée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</si>
  <si>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</si>
  <si>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</si>
  <si>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</si>
  <si>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</si>
  <si>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</si>
  <si>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</si>
  <si>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</si>
  <si>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</si>
  <si>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</t>
  </si>
  <si>
    <t>Shots on target</t>
  </si>
  <si>
    <t>% Shots on target</t>
  </si>
  <si>
    <t>Passes</t>
  </si>
  <si>
    <t>Passes accurate</t>
  </si>
  <si>
    <t>% Passes accurate</t>
  </si>
  <si>
    <t>% Possession</t>
  </si>
  <si>
    <t>Losses</t>
  </si>
  <si>
    <t xml:space="preserve">Losses Low </t>
  </si>
  <si>
    <t>Losses Medium</t>
  </si>
  <si>
    <t>Losses High</t>
  </si>
  <si>
    <t>Recoveries</t>
  </si>
  <si>
    <t>Recoveries Low</t>
  </si>
  <si>
    <t>Recoveries Medium</t>
  </si>
  <si>
    <t>Recoveries High</t>
  </si>
  <si>
    <t>Duels</t>
  </si>
  <si>
    <t>Duels won</t>
  </si>
  <si>
    <t>% Duels won</t>
  </si>
  <si>
    <t>Thionville Lusitanos</t>
  </si>
  <si>
    <t>Opponents</t>
  </si>
  <si>
    <t>J25</t>
  </si>
  <si>
    <t>2026-05-02</t>
  </si>
  <si>
    <t>Thionville Lusitanos - Feignies-Aulnoye 1:0</t>
  </si>
  <si>
    <t>France. National 2</t>
  </si>
  <si>
    <t>3-4-1-2 (100.0%)</t>
  </si>
  <si>
    <t>Feignies-Aulnoye</t>
  </si>
  <si>
    <t>4-2-3-1 (66.9%)</t>
  </si>
  <si>
    <t>J24</t>
  </si>
  <si>
    <t>2026-04-25</t>
  </si>
  <si>
    <t>Dieppe - Thionville Lusitanos 2:3</t>
  </si>
  <si>
    <t>3-5-2 (100.0%)</t>
  </si>
  <si>
    <t>Dieppe</t>
  </si>
  <si>
    <t>4-4-2 (100.0%)</t>
  </si>
  <si>
    <t>J23</t>
  </si>
  <si>
    <t>2026-04-18</t>
  </si>
  <si>
    <t>Thionville Lusitanos - Beauvais AS 1:1</t>
  </si>
  <si>
    <t>Beauvais AS</t>
  </si>
  <si>
    <t>J22</t>
  </si>
  <si>
    <t>2026-04-11</t>
  </si>
  <si>
    <t>Furiani Agliani - Thionville Lusitanos 2:4</t>
  </si>
  <si>
    <t>3-4-1-2 (87.44%)</t>
  </si>
  <si>
    <t>Furiani Agliani</t>
  </si>
  <si>
    <t>3-4-3 (100.0%)</t>
  </si>
  <si>
    <t>J21</t>
  </si>
  <si>
    <t>2026-04-04</t>
  </si>
  <si>
    <t>Thionville Lusitanos - Épinal 2:2</t>
  </si>
  <si>
    <t>5-4-1 (100.0%)</t>
  </si>
  <si>
    <t>Épinal</t>
  </si>
  <si>
    <t>4-2-3-1 (72.37%)</t>
  </si>
  <si>
    <t>J20</t>
  </si>
  <si>
    <t>2026-03-29</t>
  </si>
  <si>
    <t>St-Pryvé St-Hilaire - Thionville Lusitanos 1:2</t>
  </si>
  <si>
    <t>5-3-2 (100.0%)</t>
  </si>
  <si>
    <t>St-Pryvé St-Hilaire</t>
  </si>
  <si>
    <t>4-4-2 (56.63%)</t>
  </si>
  <si>
    <t>J14</t>
  </si>
  <si>
    <t>2026-03-21</t>
  </si>
  <si>
    <t>Bourges Foot 18 - Thionville Lusitanos 0:0</t>
  </si>
  <si>
    <t>Bourges Foot 18</t>
  </si>
  <si>
    <t>4-4-2 (59.16%)</t>
  </si>
  <si>
    <t>J17</t>
  </si>
  <si>
    <t>2026-03-14</t>
  </si>
  <si>
    <t>Thionville Lusitanos - Haguenau 1:3</t>
  </si>
  <si>
    <t>Haguenau</t>
  </si>
  <si>
    <t>J16</t>
  </si>
  <si>
    <t>2026-03-07</t>
  </si>
  <si>
    <t>Wasquehal - Thionville Lusitanos 0:2</t>
  </si>
  <si>
    <t>Wasquehal</t>
  </si>
  <si>
    <t>J28</t>
  </si>
  <si>
    <t>2026-02-28</t>
  </si>
  <si>
    <t>Thionville Lusitanos - Bourges Foot 18 1:4</t>
  </si>
  <si>
    <t>J27</t>
  </si>
  <si>
    <t>2026-02-07</t>
  </si>
  <si>
    <t>Thionville Lusitanos - Chantilly 3:1</t>
  </si>
  <si>
    <t>3-4-2-1 (100.0%)</t>
  </si>
  <si>
    <t>Chantilly</t>
  </si>
  <si>
    <t>3-4-2-1 (63.13%)</t>
  </si>
  <si>
    <t>J26</t>
  </si>
  <si>
    <t>2026-01-24</t>
  </si>
  <si>
    <t>Stadium Racing Colmar - Thionville Lusitanos 0:0</t>
  </si>
  <si>
    <t>Stadium Racing Colmar</t>
  </si>
  <si>
    <t>J29</t>
  </si>
  <si>
    <t>2026-05-16</t>
  </si>
  <si>
    <t>Thionville Lusitanos - Chambly-Oise 0:4</t>
  </si>
  <si>
    <t>3-4-1-2 (71.1%)</t>
  </si>
  <si>
    <t>Chambly-Oise</t>
  </si>
  <si>
    <t>4-2-3-1 (100.0%)</t>
  </si>
  <si>
    <t>J30</t>
  </si>
  <si>
    <t>2026-05-09</t>
  </si>
  <si>
    <t>Bastia-Borgo - Thionville Lusitanos 3:0</t>
  </si>
  <si>
    <t>3-5-2 (49.49%)</t>
  </si>
  <si>
    <t>Bastia-Borgo</t>
  </si>
  <si>
    <t>4-1-4-1 (100.0%)</t>
  </si>
  <si>
    <t>Adversaires</t>
  </si>
  <si>
    <t>J1</t>
  </si>
  <si>
    <t>2026-08-07</t>
  </si>
  <si>
    <t>Aubagne - Thionville Lusitanos 0:3</t>
  </si>
  <si>
    <t>France. Ligue 3</t>
  </si>
  <si>
    <t>Aubagne</t>
  </si>
  <si>
    <t>4-4-2 (6.55%)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</si>
  <si>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</si>
  <si>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</si>
  <si>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</si>
  <si>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</si>
  <si>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</si>
  <si>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</si>
  <si>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</si>
  <si>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</si>
  <si>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</si>
  <si>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</si>
  <si>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</si>
  <si>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</si>
  <si>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</si>
  <si>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</si>
  <si>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</si>
  <si>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</si>
  <si>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</si>
  <si>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</si>
  <si>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</si>
  <si>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</si>
  <si>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</si>
  <si>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Offsides</t>
  </si>
  <si>
    <t>Conceded goals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</si>
  <si>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</si>
  <si>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</si>
  <si>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</si>
  <si>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</si>
  <si>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</si>
  <si>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</si>
  <si>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</si>
  <si>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</si>
  <si>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</si>
  <si>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</si>
  <si>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</si>
  <si>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</si>
  <si>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Interceptions</t>
  </si>
  <si>
    <t>Clearances</t>
  </si>
  <si>
    <t>Fouls</t>
  </si>
  <si>
    <t>Yellow cards</t>
  </si>
  <si>
    <t>Red cards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</si>
  <si>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</si>
  <si>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</si>
  <si>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</si>
  <si>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</si>
  <si>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</si>
  <si>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</si>
  <si>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</si>
  <si>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</si>
  <si>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</si>
  <si>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</si>
  <si>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</si>
  <si>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</si>
  <si>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</si>
  <si>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</si>
  <si>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</si>
  <si>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</si>
  <si>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</si>
  <si>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</si>
  <si>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</si>
  <si>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</si>
  <si>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</si>
  <si>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</si>
  <si>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</si>
  <si>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</si>
  <si>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Goal kicks</t>
  </si>
  <si>
    <t>Match tempo</t>
  </si>
  <si>
    <t>Average passes per possession</t>
  </si>
  <si>
    <t>Long pass %</t>
  </si>
  <si>
    <t>PPDA</t>
  </si>
  <si>
    <t>Average shot distance</t>
  </si>
  <si>
    <t>Average pass length</t>
  </si>
  <si>
    <t>Position</t>
  </si>
  <si>
    <t>Minutes played</t>
  </si>
  <si>
    <t>Total actions / successful</t>
  </si>
  <si>
    <t>Assists</t>
  </si>
  <si>
    <t>Shots / on target</t>
  </si>
  <si>
    <t>Passes / accurate</t>
  </si>
  <si>
    <t>Long passes / accurate</t>
  </si>
  <si>
    <t>Crosses / accurate</t>
  </si>
  <si>
    <t>Dribbles / successful</t>
  </si>
  <si>
    <t>Duels / won</t>
  </si>
  <si>
    <t>Aerial duels / won</t>
  </si>
  <si>
    <t>Losses / own half</t>
  </si>
  <si>
    <t>Recoveries / opp. half</t>
  </si>
  <si>
    <t>Yellow card</t>
  </si>
  <si>
    <t>Red card</t>
  </si>
  <si>
    <t>Defensive duels / won</t>
  </si>
  <si>
    <t>Loose ball duels / won</t>
  </si>
  <si>
    <t>Sliding tackles / successful</t>
  </si>
  <si>
    <t>Shot assists</t>
  </si>
  <si>
    <t>Offensive duels / won</t>
  </si>
  <si>
    <t>Touches in penalty area</t>
  </si>
  <si>
    <t>Progressive runs</t>
  </si>
  <si>
    <t>Fouls suffered</t>
  </si>
  <si>
    <t>Through passes / accurate</t>
  </si>
  <si>
    <t>xA</t>
  </si>
  <si>
    <t>Second assists</t>
  </si>
  <si>
    <t>Passes to final third / accurate</t>
  </si>
  <si>
    <t>Passes to penalty area / accurate</t>
  </si>
  <si>
    <t>Received passes</t>
  </si>
  <si>
    <t>Forward passes / accurate</t>
  </si>
  <si>
    <t>Back passes / accurate</t>
  </si>
  <si>
    <t>LCB3</t>
  </si>
  <si>
    <t>RCB3</t>
  </si>
  <si>
    <t>LCB</t>
  </si>
  <si>
    <t>J2</t>
  </si>
  <si>
    <t>Thionville Lusitanos - Caen 4:3</t>
  </si>
  <si>
    <t>2026-08-14</t>
  </si>
  <si>
    <t>CB</t>
  </si>
  <si>
    <t>CB, LCB3</t>
  </si>
  <si>
    <t>LWF</t>
  </si>
  <si>
    <t>CF</t>
  </si>
  <si>
    <t>LCMF</t>
  </si>
  <si>
    <t>LCMF3</t>
  </si>
  <si>
    <t>CB, RCB3</t>
  </si>
  <si>
    <t>RCB</t>
  </si>
  <si>
    <t>RWB</t>
  </si>
  <si>
    <t>RB5, RWB</t>
  </si>
  <si>
    <t>RB5</t>
  </si>
  <si>
    <t>RCB3, RWB</t>
  </si>
  <si>
    <t>DMF</t>
  </si>
  <si>
    <t>RCMF</t>
  </si>
  <si>
    <t>RCMF, RCMF3</t>
  </si>
  <si>
    <t>LCMF, RCMF</t>
  </si>
  <si>
    <t>RCMF3</t>
  </si>
  <si>
    <t>RDMF</t>
  </si>
  <si>
    <t>LCMF, LCMF3</t>
  </si>
  <si>
    <t>AMF, LCMF</t>
  </si>
  <si>
    <t>AMF</t>
  </si>
  <si>
    <t>RW</t>
  </si>
  <si>
    <t>LCMF3, RCMF3</t>
  </si>
  <si>
    <t>LDMF, RCMF</t>
  </si>
  <si>
    <t>DMF, LCMF</t>
  </si>
  <si>
    <t>DMF, LCMF3</t>
  </si>
  <si>
    <t>AMF, CF</t>
  </si>
  <si>
    <t>RAMF, CF</t>
  </si>
  <si>
    <t>RWF</t>
  </si>
  <si>
    <t>LWF, RWF</t>
  </si>
  <si>
    <t>LW</t>
  </si>
  <si>
    <t>LWB</t>
  </si>
  <si>
    <t>Caen</t>
  </si>
  <si>
    <t>4-2-3-1 (85.23%)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</si>
</sst>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rial"/>
      <family val="1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"/>
  <sheetViews>
    <sheetView zoomScale="75" workbookViewId="0">
      <selection sqref="A1:AA1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 s="1">
        <f t="shared" si="0"/>
        <v>9.1428571428571423</v>
      </c>
      <c r="K2" s="1">
        <f t="shared" si="0"/>
        <v>3.7857142857142856</v>
      </c>
      <c r="L2" s="1">
        <f>IFERROR(SUM(K4,K6,K8,K10,K12,K14,K16,K18,K20,K22,K24,K26,K28,K30)/SUM(J4,J6,J8,J10,J12,J14,J16,J18,J20,J22,J24,J26,J28,J30)*100,0)</f>
        <v>41.40625</v>
      </c>
      <c r="M2" s="1">
        <f>AVERAGE(M4,M6,M8,M10,M12,M14,M16,M18,M20,M22,M24,M26,M28,M30)</f>
        <v>382.71428571428572</v>
      </c>
      <c r="N2" s="1">
        <f>AVERAGE(N4,N6,N8,N10,N12,N14,N16,N18,N20,N22,N24,N26,N28,N30)</f>
        <v>294.71428571428572</v>
      </c>
      <c r="O2" s="1">
        <f>IFERROR(SUM(N4,N6,N8,N10,N12,N14,N16,N18,N20,N22,N24,N26,N28,N30)/SUM(M4,M6,M8,M10,M12,M14,M16,M18,M20,M22,M24,M26,M28,M30)*100,0)</f>
        <v>77.006345651362452</v>
      </c>
      <c r="P2" s="1">
        <f t="shared" ref="P2:Z2" si="1">AVERAGE(P4,P6,P8,P10,P12,P14,P16,P18,P20,P22,P24,P26,P28,P30)</f>
        <v>47.509285714285717</v>
      </c>
      <c r="Q2" s="1">
        <f t="shared" si="1"/>
        <v>136.28571428571428</v>
      </c>
      <c r="R2" s="1">
        <f t="shared" si="1"/>
        <v>20.5</v>
      </c>
      <c r="S2" s="1">
        <f t="shared" si="1"/>
        <v>52.071428571428569</v>
      </c>
      <c r="T2" s="1">
        <f t="shared" si="1"/>
        <v>63.714285714285715</v>
      </c>
      <c r="U2" s="1">
        <f t="shared" si="1"/>
        <v>92.785714285714292</v>
      </c>
      <c r="V2" s="1">
        <f t="shared" si="1"/>
        <v>41.071428571428569</v>
      </c>
      <c r="W2" s="1">
        <f t="shared" si="1"/>
        <v>40.071428571428569</v>
      </c>
      <c r="X2" s="1">
        <f t="shared" si="1"/>
        <v>11.642857142857142</v>
      </c>
      <c r="Y2" s="1">
        <f t="shared" si="1"/>
        <v>215.71428571428572</v>
      </c>
      <c r="Z2" s="1">
        <f t="shared" si="1"/>
        <v>106.28571428571429</v>
      </c>
      <c r="AA2" s="1">
        <f>IFERROR(SUM(Z4,Z6,Z8,Z10,Z12,Z14,Z16,Z18,Z20,Z22,Z24,Z26,Z28,Z30)/SUM(Y4,Y6,Y8,Y10,Y12,Y14,Y16,Y18,Y20,Y22,Y24,Y26,Y28,Y30)*100,0)</f>
        <v>49.271523178807946</v>
      </c>
    </row>
    <row r="3" spans="1:27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1.6428571428571428</v>
      </c>
      <c r="I3" s="1">
        <f t="shared" si="0"/>
        <v>1.587142857142857</v>
      </c>
      <c r="J3" s="1">
        <f t="shared" si="0"/>
        <v>11.071428571428571</v>
      </c>
      <c r="K3" s="1">
        <f t="shared" si="0"/>
        <v>4.1428571428571432</v>
      </c>
      <c r="L3" s="1">
        <f>IFERROR(SUM(K5,K7,K9,K11,K13,K15,K17,K19,K21,K23,K25,K27,K29,K31)/SUM(J5,J7,J9,J11,J13,J15,J17,J19,J21,J23,J25,J27,J29,J31)*100,0)</f>
        <v>37.41935483870968</v>
      </c>
      <c r="M3" s="1">
        <f>AVERAGE(M5,M7,M9,M11,M13,M15,M17,M19,M21,M23,M25,M27,M29,M31)</f>
        <v>383.92857142857144</v>
      </c>
      <c r="N3" s="1">
        <f>AVERAGE(N5,N7,N9,N11,N13,N15,N17,N19,N21,N23,N25,N27,N29,N31)</f>
        <v>298.92857142857144</v>
      </c>
      <c r="O3" s="1">
        <f>IFERROR(SUM(N5,N7,N9,N11,N13,N15,N17,N19,N21,N23,N25,N27,N29,N31)/SUM(M5,M7,M9,M11,M13,M15,M17,M19,M21,M23,M25,M27,M29,M31)*100,0)</f>
        <v>77.860465116279059</v>
      </c>
      <c r="P3" s="1">
        <f t="shared" ref="P3:Z3" si="2">AVERAGE(P5,P7,P9,P11,P13,P15,P17,P19,P21,P23,P25,P27,P29,P31)</f>
        <v>52.490714285714283</v>
      </c>
      <c r="Q3" s="1">
        <f t="shared" si="2"/>
        <v>129.07142857142858</v>
      </c>
      <c r="R3" s="1">
        <f t="shared" si="2"/>
        <v>21.142857142857142</v>
      </c>
      <c r="S3" s="1">
        <f t="shared" si="2"/>
        <v>51.071428571428569</v>
      </c>
      <c r="T3" s="1">
        <f t="shared" si="2"/>
        <v>56.857142857142854</v>
      </c>
      <c r="U3" s="1">
        <f t="shared" si="2"/>
        <v>96.785714285714292</v>
      </c>
      <c r="V3" s="1">
        <f t="shared" si="2"/>
        <v>44.714285714285715</v>
      </c>
      <c r="W3" s="1">
        <f t="shared" si="2"/>
        <v>41.214285714285715</v>
      </c>
      <c r="X3" s="1">
        <f t="shared" si="2"/>
        <v>10.857142857142858</v>
      </c>
      <c r="Y3" s="1">
        <f t="shared" si="2"/>
        <v>215.71428571428572</v>
      </c>
      <c r="Z3" s="1">
        <f t="shared" si="2"/>
        <v>98.571428571428569</v>
      </c>
      <c r="AA3" s="1">
        <f>IFERROR(SUM(Z5,Z7,Z9,Z11,Z13,Z15,Z17,Z19,Z21,Z23,Z25,Z27,Z29,Z31)/SUM(Y5,Y7,Y9,Y11,Y13,Y15,Y17,Y19,Y21,Y23,Y25,Y27,Y29,Y31)*100,0)</f>
        <v>45.695364238410598</v>
      </c>
    </row>
    <row r="4" spans="1:27" x14ac:dyDescent="0.15">
      <c r="A4" s="4" t="s">
        <v>29</v>
      </c>
      <c r="B4" s="5" t="s">
        <v>30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5"/>
      <c r="B5" s="5"/>
      <c r="C5" s="5"/>
      <c r="D5" s="5"/>
      <c r="E5" s="5"/>
      <c r="F5" t="s">
        <v>34</v>
      </c>
      <c r="G5" t="s">
        <v>35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4" t="s">
        <v>36</v>
      </c>
      <c r="B6" s="5" t="s">
        <v>37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5"/>
      <c r="B7" s="5"/>
      <c r="C7" s="5"/>
      <c r="D7" s="5"/>
      <c r="E7" s="5"/>
      <c r="F7" t="s">
        <v>40</v>
      </c>
      <c r="G7" t="s">
        <v>41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4" t="s">
        <v>42</v>
      </c>
      <c r="B8" s="5" t="s">
        <v>43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5"/>
      <c r="B9" s="5"/>
      <c r="C9" s="5"/>
      <c r="D9" s="5"/>
      <c r="E9" s="5"/>
      <c r="F9" t="s">
        <v>45</v>
      </c>
      <c r="G9" t="s">
        <v>41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4" t="s">
        <v>46</v>
      </c>
      <c r="B10" s="5" t="s">
        <v>47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4" t="s">
        <v>52</v>
      </c>
      <c r="B12" s="5" t="s">
        <v>53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4" t="s">
        <v>58</v>
      </c>
      <c r="B14" s="5" t="s">
        <v>59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4" t="s">
        <v>64</v>
      </c>
      <c r="B16" s="5" t="s">
        <v>65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4" t="s">
        <v>69</v>
      </c>
      <c r="B18" s="5" t="s">
        <v>70</v>
      </c>
      <c r="C18" s="5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5"/>
      <c r="B19" s="5"/>
      <c r="C19" s="5"/>
      <c r="D19" s="5"/>
      <c r="E19" s="5"/>
      <c r="F19" t="s">
        <v>72</v>
      </c>
      <c r="G19" t="s">
        <v>55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4" t="s">
        <v>73</v>
      </c>
      <c r="B20" s="5" t="s">
        <v>74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4" t="s">
        <v>77</v>
      </c>
      <c r="B22" s="5" t="s">
        <v>78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4" t="s">
        <v>80</v>
      </c>
      <c r="B24" s="5" t="s">
        <v>81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4" t="s">
        <v>86</v>
      </c>
      <c r="B26" s="5" t="s">
        <v>87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  <row r="28" spans="1:27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0</v>
      </c>
      <c r="I28">
        <v>0.57999999999999996</v>
      </c>
      <c r="J28">
        <v>8</v>
      </c>
      <c r="K28">
        <v>2</v>
      </c>
      <c r="L28">
        <v>25</v>
      </c>
      <c r="M28">
        <v>479</v>
      </c>
      <c r="N28">
        <v>398</v>
      </c>
      <c r="O28">
        <v>83.09</v>
      </c>
      <c r="P28">
        <v>60.27</v>
      </c>
      <c r="Q28">
        <v>133</v>
      </c>
      <c r="R28">
        <v>20</v>
      </c>
      <c r="S28">
        <v>48</v>
      </c>
      <c r="T28">
        <v>65</v>
      </c>
      <c r="U28">
        <v>99</v>
      </c>
      <c r="V28">
        <v>39</v>
      </c>
      <c r="W28">
        <v>56</v>
      </c>
      <c r="X28">
        <v>4</v>
      </c>
      <c r="Y28">
        <v>194</v>
      </c>
      <c r="Z28">
        <v>101</v>
      </c>
      <c r="AA28">
        <v>52.06</v>
      </c>
    </row>
    <row r="29" spans="1:27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4</v>
      </c>
      <c r="I29">
        <v>2.31</v>
      </c>
      <c r="J29">
        <v>11</v>
      </c>
      <c r="K29">
        <v>6</v>
      </c>
      <c r="L29">
        <v>54.55</v>
      </c>
      <c r="M29">
        <v>302</v>
      </c>
      <c r="N29">
        <v>224</v>
      </c>
      <c r="O29">
        <v>74.17</v>
      </c>
      <c r="P29">
        <v>39.729999999999997</v>
      </c>
      <c r="Q29">
        <v>118</v>
      </c>
      <c r="R29">
        <v>14</v>
      </c>
      <c r="S29">
        <v>62</v>
      </c>
      <c r="T29">
        <v>42</v>
      </c>
      <c r="U29">
        <v>87</v>
      </c>
      <c r="V29">
        <v>39</v>
      </c>
      <c r="W29">
        <v>37</v>
      </c>
      <c r="X29">
        <v>11</v>
      </c>
      <c r="Y29">
        <v>194</v>
      </c>
      <c r="Z29">
        <v>87</v>
      </c>
      <c r="AA29">
        <v>44.85</v>
      </c>
    </row>
    <row r="30" spans="1:27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0</v>
      </c>
      <c r="I30">
        <v>1.34</v>
      </c>
      <c r="J30">
        <v>9</v>
      </c>
      <c r="K30">
        <v>1</v>
      </c>
      <c r="L30">
        <v>11.11</v>
      </c>
      <c r="M30">
        <v>375</v>
      </c>
      <c r="N30">
        <v>284</v>
      </c>
      <c r="O30">
        <v>75.73</v>
      </c>
      <c r="P30">
        <v>46.6</v>
      </c>
      <c r="Q30">
        <v>129</v>
      </c>
      <c r="R30">
        <v>14</v>
      </c>
      <c r="S30">
        <v>53</v>
      </c>
      <c r="T30">
        <v>62</v>
      </c>
      <c r="U30">
        <v>86</v>
      </c>
      <c r="V30">
        <v>32</v>
      </c>
      <c r="W30">
        <v>41</v>
      </c>
      <c r="X30">
        <v>13</v>
      </c>
      <c r="Y30">
        <v>195</v>
      </c>
      <c r="Z30">
        <v>87</v>
      </c>
      <c r="AA30">
        <v>44.62</v>
      </c>
    </row>
    <row r="31" spans="1:27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3</v>
      </c>
      <c r="I31">
        <v>2.5099999999999998</v>
      </c>
      <c r="J31">
        <v>14</v>
      </c>
      <c r="K31">
        <v>5</v>
      </c>
      <c r="L31">
        <v>35.71</v>
      </c>
      <c r="M31">
        <v>384</v>
      </c>
      <c r="N31">
        <v>303</v>
      </c>
      <c r="O31">
        <v>78.91</v>
      </c>
      <c r="P31">
        <v>53.4</v>
      </c>
      <c r="Q31">
        <v>128</v>
      </c>
      <c r="R31">
        <v>22</v>
      </c>
      <c r="S31">
        <v>56</v>
      </c>
      <c r="T31">
        <v>50</v>
      </c>
      <c r="U31">
        <v>99</v>
      </c>
      <c r="V31">
        <v>40</v>
      </c>
      <c r="W31">
        <v>51</v>
      </c>
      <c r="X31">
        <v>8</v>
      </c>
      <c r="Y31">
        <v>195</v>
      </c>
      <c r="Z31">
        <v>95</v>
      </c>
      <c r="AA31">
        <v>48.72</v>
      </c>
    </row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E6:E7"/>
    <mergeCell ref="D12:D13"/>
    <mergeCell ref="B10:B11"/>
    <mergeCell ref="B28:B29"/>
    <mergeCell ref="B6:B7"/>
    <mergeCell ref="B24:B25"/>
    <mergeCell ref="D24:D25"/>
    <mergeCell ref="D28:D29"/>
    <mergeCell ref="D6:D7"/>
    <mergeCell ref="B14:B15"/>
    <mergeCell ref="C22:C23"/>
    <mergeCell ref="C12:C13"/>
    <mergeCell ref="E30:E31"/>
    <mergeCell ref="E14:E15"/>
    <mergeCell ref="A8:A9"/>
    <mergeCell ref="C8:C9"/>
    <mergeCell ref="D18:D19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E12:E13"/>
    <mergeCell ref="E18:E19"/>
    <mergeCell ref="D26:D27"/>
    <mergeCell ref="E22:E23"/>
    <mergeCell ref="C28:C29"/>
    <mergeCell ref="C24:C25"/>
    <mergeCell ref="E24:E25"/>
    <mergeCell ref="C14:C15"/>
    <mergeCell ref="E28:E29"/>
    <mergeCell ref="D16:D17"/>
    <mergeCell ref="A30:A31"/>
    <mergeCell ref="D22:D23"/>
    <mergeCell ref="D30:D31"/>
    <mergeCell ref="D10:D11"/>
    <mergeCell ref="B4:B5"/>
    <mergeCell ref="B22:B23"/>
    <mergeCell ref="B16:B17"/>
    <mergeCell ref="C6:C7"/>
    <mergeCell ref="B26:B27"/>
    <mergeCell ref="A26:A27"/>
    <mergeCell ref="A18:A19"/>
    <mergeCell ref="A14:A15"/>
    <mergeCell ref="A28:A29"/>
    <mergeCell ref="A12:A13"/>
    <mergeCell ref="D4:D5"/>
    <mergeCell ref="A4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1"/>
  <sheetViews>
    <sheetView zoomScale="60" workbookViewId="0">
      <selection activeCell="E18" sqref="E18:E19"/>
    </sheetView>
  </sheetViews>
  <sheetFormatPr baseColWidth="10" defaultRowHeight="14" x14ac:dyDescent="0.15"/>
  <cols>
    <col min="3" max="3" width="14.1640625" bestFit="1" customWidth="1"/>
    <col min="4" max="4" width="37.83203125" bestFit="1" customWidth="1"/>
    <col min="7" max="7" width="17.1640625" bestFit="1" customWidth="1"/>
  </cols>
  <sheetData>
    <row r="1" spans="1:2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8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AVERAGE(H4,H6)</f>
        <v>3.5</v>
      </c>
      <c r="I2" s="1">
        <f t="shared" si="0"/>
        <v>1.2850000000000001</v>
      </c>
      <c r="J2" s="1">
        <f t="shared" si="0"/>
        <v>13.5</v>
      </c>
      <c r="K2" s="1">
        <f t="shared" si="0"/>
        <v>7.5</v>
      </c>
      <c r="L2" s="1">
        <f>IFERROR(SUM(K4,K6)/SUM(J4,J6)*100,0)</f>
        <v>55.555555555555557</v>
      </c>
      <c r="M2" s="1">
        <f>AVERAGE(M4,M6)</f>
        <v>329.5</v>
      </c>
      <c r="N2" s="1">
        <f>AVERAGE(N4,N6)</f>
        <v>252.5</v>
      </c>
      <c r="O2" s="1">
        <f>IFERROR(SUM(N4,N6)/SUM(M4,M6)*100,0)</f>
        <v>76.631259484066774</v>
      </c>
      <c r="P2" s="1">
        <f t="shared" ref="P2:Z3" si="1">AVERAGE(P4,P6)</f>
        <v>40.314999999999998</v>
      </c>
      <c r="Q2" s="1">
        <f t="shared" si="1"/>
        <v>114.5</v>
      </c>
      <c r="R2" s="1">
        <f t="shared" si="1"/>
        <v>22.5</v>
      </c>
      <c r="S2" s="1">
        <f t="shared" si="1"/>
        <v>34.5</v>
      </c>
      <c r="T2" s="1">
        <f t="shared" si="1"/>
        <v>57.5</v>
      </c>
      <c r="U2" s="1">
        <f t="shared" si="1"/>
        <v>63</v>
      </c>
      <c r="V2" s="1">
        <f t="shared" si="1"/>
        <v>23</v>
      </c>
      <c r="W2" s="1">
        <f t="shared" si="1"/>
        <v>32</v>
      </c>
      <c r="X2" s="1">
        <f t="shared" si="1"/>
        <v>8</v>
      </c>
      <c r="Y2" s="1">
        <f t="shared" si="1"/>
        <v>114</v>
      </c>
      <c r="Z2" s="1">
        <f t="shared" si="1"/>
        <v>55</v>
      </c>
      <c r="AA2" s="1">
        <f>IFERROR(SUM(Z4,Z6)/SUM(Y4,Y6)*100,0)</f>
        <v>48.245614035087719</v>
      </c>
      <c r="AB2" s="1"/>
    </row>
    <row r="3" spans="1:28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1.5</v>
      </c>
      <c r="I3" s="1">
        <f t="shared" si="0"/>
        <v>1.365</v>
      </c>
      <c r="J3" s="1">
        <f t="shared" si="0"/>
        <v>9.5</v>
      </c>
      <c r="K3" s="1">
        <f t="shared" si="0"/>
        <v>4.5</v>
      </c>
      <c r="L3" s="1">
        <f>IFERROR(SUM(K5,K7)/SUM(J5,J7)*100,0)</f>
        <v>47.368421052631575</v>
      </c>
      <c r="M3" s="1">
        <f>AVERAGE(M5,M7)</f>
        <v>402.5</v>
      </c>
      <c r="N3" s="1">
        <f>AVERAGE(N5,N7)</f>
        <v>324</v>
      </c>
      <c r="O3" s="1">
        <f>IFERROR(SUM(N5,N7)/SUM(M5,M7)*100,0)</f>
        <v>80.496894409937894</v>
      </c>
      <c r="P3" s="1">
        <f t="shared" si="1"/>
        <v>59.685000000000002</v>
      </c>
      <c r="Q3" s="1">
        <f t="shared" si="1"/>
        <v>115.5</v>
      </c>
      <c r="R3" s="1">
        <f t="shared" si="1"/>
        <v>26.5</v>
      </c>
      <c r="S3" s="1">
        <f t="shared" si="1"/>
        <v>41.5</v>
      </c>
      <c r="T3" s="1">
        <f t="shared" si="1"/>
        <v>47.5</v>
      </c>
      <c r="U3" s="1">
        <f t="shared" si="1"/>
        <v>69</v>
      </c>
      <c r="V3" s="1">
        <f t="shared" si="1"/>
        <v>36</v>
      </c>
      <c r="W3" s="1">
        <f t="shared" si="1"/>
        <v>22.5</v>
      </c>
      <c r="X3" s="1">
        <f t="shared" si="1"/>
        <v>10.5</v>
      </c>
      <c r="Y3" s="1">
        <f t="shared" si="1"/>
        <v>114</v>
      </c>
      <c r="Z3" s="1">
        <f t="shared" si="1"/>
        <v>58.5</v>
      </c>
      <c r="AA3" s="1">
        <f>IFERROR(SUM(Z5,Z7)/SUM(Y5,Y7)*100,0)</f>
        <v>51.315789473684212</v>
      </c>
      <c r="AB3" s="1"/>
    </row>
    <row r="4" spans="1:28" x14ac:dyDescent="0.15">
      <c r="A4" s="6" t="s">
        <v>214</v>
      </c>
      <c r="B4" s="5" t="s">
        <v>216</v>
      </c>
      <c r="C4" s="5" t="s">
        <v>215</v>
      </c>
      <c r="D4" s="5" t="s">
        <v>106</v>
      </c>
      <c r="E4" s="5">
        <v>106</v>
      </c>
      <c r="F4" t="s">
        <v>27</v>
      </c>
      <c r="G4" t="s">
        <v>39</v>
      </c>
      <c r="H4">
        <v>4</v>
      </c>
      <c r="I4">
        <v>1.56</v>
      </c>
      <c r="J4">
        <v>13</v>
      </c>
      <c r="K4">
        <v>8</v>
      </c>
      <c r="L4">
        <v>61.54</v>
      </c>
      <c r="M4">
        <v>179</v>
      </c>
      <c r="N4">
        <v>114</v>
      </c>
      <c r="O4">
        <v>63.69</v>
      </c>
      <c r="P4">
        <v>26.24</v>
      </c>
      <c r="Q4">
        <v>105</v>
      </c>
      <c r="R4">
        <v>27</v>
      </c>
      <c r="S4">
        <v>30</v>
      </c>
      <c r="T4">
        <v>48</v>
      </c>
      <c r="U4">
        <v>54</v>
      </c>
      <c r="V4">
        <v>22</v>
      </c>
      <c r="W4">
        <v>28</v>
      </c>
      <c r="X4">
        <v>4</v>
      </c>
      <c r="Y4">
        <v>109</v>
      </c>
      <c r="Z4">
        <v>52</v>
      </c>
      <c r="AA4">
        <v>47.71</v>
      </c>
    </row>
    <row r="5" spans="1:28" x14ac:dyDescent="0.15">
      <c r="A5" s="6"/>
      <c r="B5" s="5" t="s">
        <v>216</v>
      </c>
      <c r="C5" s="5" t="s">
        <v>215</v>
      </c>
      <c r="D5" s="5" t="s">
        <v>106</v>
      </c>
      <c r="E5" s="5">
        <v>106</v>
      </c>
      <c r="F5" t="s">
        <v>249</v>
      </c>
      <c r="G5" t="s">
        <v>250</v>
      </c>
      <c r="H5">
        <v>3</v>
      </c>
      <c r="I5">
        <v>2.7</v>
      </c>
      <c r="J5">
        <v>15</v>
      </c>
      <c r="K5">
        <v>7</v>
      </c>
      <c r="L5">
        <v>46.67</v>
      </c>
      <c r="M5">
        <v>491</v>
      </c>
      <c r="N5">
        <v>426</v>
      </c>
      <c r="O5">
        <v>86.76</v>
      </c>
      <c r="P5">
        <v>73.760000000000005</v>
      </c>
      <c r="Q5">
        <v>104</v>
      </c>
      <c r="R5">
        <v>20</v>
      </c>
      <c r="S5">
        <v>35</v>
      </c>
      <c r="T5">
        <v>49</v>
      </c>
      <c r="U5">
        <v>63</v>
      </c>
      <c r="V5">
        <v>29</v>
      </c>
      <c r="W5">
        <v>20</v>
      </c>
      <c r="X5">
        <v>14</v>
      </c>
      <c r="Y5">
        <v>109</v>
      </c>
      <c r="Z5">
        <v>56</v>
      </c>
      <c r="AA5">
        <v>51.38</v>
      </c>
    </row>
    <row r="6" spans="1:28" x14ac:dyDescent="0.15">
      <c r="A6" s="6" t="s">
        <v>103</v>
      </c>
      <c r="B6" s="5" t="s">
        <v>104</v>
      </c>
      <c r="C6" s="5" t="s">
        <v>105</v>
      </c>
      <c r="D6" s="5" t="s">
        <v>106</v>
      </c>
      <c r="E6" s="5">
        <v>101</v>
      </c>
      <c r="F6" t="s">
        <v>27</v>
      </c>
      <c r="G6" t="s">
        <v>39</v>
      </c>
      <c r="H6">
        <v>3</v>
      </c>
      <c r="I6">
        <v>1.01</v>
      </c>
      <c r="J6">
        <v>14</v>
      </c>
      <c r="K6">
        <v>7</v>
      </c>
      <c r="L6">
        <v>50</v>
      </c>
      <c r="M6">
        <v>480</v>
      </c>
      <c r="N6">
        <v>391</v>
      </c>
      <c r="O6">
        <v>81.459999999999994</v>
      </c>
      <c r="P6">
        <v>54.39</v>
      </c>
      <c r="Q6">
        <v>124</v>
      </c>
      <c r="R6">
        <v>18</v>
      </c>
      <c r="S6">
        <v>39</v>
      </c>
      <c r="T6">
        <v>67</v>
      </c>
      <c r="U6">
        <v>72</v>
      </c>
      <c r="V6">
        <v>24</v>
      </c>
      <c r="W6">
        <v>36</v>
      </c>
      <c r="X6">
        <v>12</v>
      </c>
      <c r="Y6">
        <v>119</v>
      </c>
      <c r="Z6">
        <v>58</v>
      </c>
      <c r="AA6">
        <v>48.74</v>
      </c>
    </row>
    <row r="7" spans="1:28" x14ac:dyDescent="0.15">
      <c r="A7" s="6"/>
      <c r="B7" s="5" t="s">
        <v>104</v>
      </c>
      <c r="C7" s="5" t="s">
        <v>105</v>
      </c>
      <c r="D7" s="5" t="s">
        <v>106</v>
      </c>
      <c r="E7" s="5">
        <v>101</v>
      </c>
      <c r="F7" t="s">
        <v>107</v>
      </c>
      <c r="G7" t="s">
        <v>108</v>
      </c>
      <c r="H7">
        <v>0</v>
      </c>
      <c r="I7">
        <v>0.03</v>
      </c>
      <c r="J7">
        <v>4</v>
      </c>
      <c r="K7">
        <v>2</v>
      </c>
      <c r="L7">
        <v>50</v>
      </c>
      <c r="M7">
        <v>314</v>
      </c>
      <c r="N7">
        <v>222</v>
      </c>
      <c r="O7">
        <v>70.7</v>
      </c>
      <c r="P7">
        <v>45.61</v>
      </c>
      <c r="Q7">
        <v>127</v>
      </c>
      <c r="R7">
        <v>33</v>
      </c>
      <c r="S7">
        <v>48</v>
      </c>
      <c r="T7">
        <v>46</v>
      </c>
      <c r="U7">
        <v>75</v>
      </c>
      <c r="V7">
        <v>43</v>
      </c>
      <c r="W7">
        <v>25</v>
      </c>
      <c r="X7">
        <v>7</v>
      </c>
      <c r="Y7">
        <v>119</v>
      </c>
      <c r="Z7">
        <v>61</v>
      </c>
      <c r="AA7">
        <v>51.26</v>
      </c>
    </row>
    <row r="8" spans="1:28" x14ac:dyDescent="0.15">
      <c r="B8" s="4"/>
      <c r="C8" s="5"/>
      <c r="D8" s="5"/>
      <c r="E8" s="5"/>
      <c r="F8" s="5"/>
    </row>
    <row r="9" spans="1:28" x14ac:dyDescent="0.15">
      <c r="B9" s="5"/>
      <c r="C9" s="5"/>
      <c r="D9" s="5"/>
      <c r="E9" s="5"/>
      <c r="F9" s="5"/>
    </row>
    <row r="10" spans="1:28" x14ac:dyDescent="0.15">
      <c r="B10" s="4"/>
      <c r="C10" s="5"/>
      <c r="D10" s="5"/>
      <c r="E10" s="5"/>
      <c r="F10" s="5"/>
    </row>
    <row r="11" spans="1:28" x14ac:dyDescent="0.15">
      <c r="B11" s="5"/>
      <c r="C11" s="5"/>
      <c r="D11" s="5"/>
      <c r="E11" s="5"/>
      <c r="F11" s="5"/>
    </row>
    <row r="12" spans="1:28" x14ac:dyDescent="0.15">
      <c r="B12" s="4"/>
      <c r="C12" s="5"/>
      <c r="D12" s="5"/>
      <c r="E12" s="5"/>
      <c r="F12" s="5"/>
    </row>
    <row r="13" spans="1:28" x14ac:dyDescent="0.15">
      <c r="B13" s="5"/>
      <c r="C13" s="5"/>
      <c r="D13" s="5"/>
      <c r="E13" s="5"/>
      <c r="F13" s="5"/>
    </row>
    <row r="14" spans="1:28" x14ac:dyDescent="0.15">
      <c r="B14" s="4"/>
      <c r="C14" s="5"/>
      <c r="D14" s="5"/>
      <c r="E14" s="5"/>
      <c r="F14" s="5"/>
    </row>
    <row r="15" spans="1:28" x14ac:dyDescent="0.15">
      <c r="B15" s="5"/>
      <c r="C15" s="5"/>
      <c r="D15" s="5"/>
      <c r="E15" s="5"/>
      <c r="F15" s="5"/>
    </row>
    <row r="16" spans="1:28" x14ac:dyDescent="0.15">
      <c r="B16" s="4"/>
      <c r="C16" s="5"/>
      <c r="D16" s="5"/>
      <c r="E16" s="5"/>
      <c r="F16" s="5"/>
    </row>
    <row r="17" spans="2:6" x14ac:dyDescent="0.15">
      <c r="B17" s="5"/>
      <c r="C17" s="5"/>
      <c r="D17" s="5"/>
      <c r="E17" s="5"/>
      <c r="F17" s="5"/>
    </row>
    <row r="18" spans="2:6" x14ac:dyDescent="0.15">
      <c r="B18" s="4"/>
      <c r="C18" s="5"/>
      <c r="D18" s="5"/>
      <c r="E18" s="5"/>
      <c r="F18" s="5"/>
    </row>
    <row r="19" spans="2:6" x14ac:dyDescent="0.15">
      <c r="B19" s="5"/>
      <c r="C19" s="5"/>
      <c r="D19" s="5"/>
      <c r="E19" s="5"/>
      <c r="F19" s="5"/>
    </row>
    <row r="20" spans="2:6" x14ac:dyDescent="0.15">
      <c r="B20" s="4"/>
      <c r="C20" s="5"/>
      <c r="D20" s="5"/>
      <c r="E20" s="5"/>
      <c r="F20" s="5"/>
    </row>
    <row r="21" spans="2:6" x14ac:dyDescent="0.15">
      <c r="B21" s="5"/>
      <c r="C21" s="5"/>
      <c r="D21" s="5"/>
      <c r="E21" s="5"/>
      <c r="F21" s="5"/>
    </row>
    <row r="22" spans="2:6" x14ac:dyDescent="0.15">
      <c r="B22" s="4"/>
      <c r="C22" s="5"/>
      <c r="D22" s="5"/>
      <c r="E22" s="5"/>
      <c r="F22" s="5"/>
    </row>
    <row r="23" spans="2:6" x14ac:dyDescent="0.15">
      <c r="B23" s="5"/>
      <c r="C23" s="5"/>
      <c r="D23" s="5"/>
      <c r="E23" s="5"/>
      <c r="F23" s="5"/>
    </row>
    <row r="24" spans="2:6" x14ac:dyDescent="0.15">
      <c r="B24" s="4"/>
      <c r="C24" s="5"/>
      <c r="D24" s="5"/>
      <c r="E24" s="5"/>
      <c r="F24" s="5"/>
    </row>
    <row r="25" spans="2:6" x14ac:dyDescent="0.15">
      <c r="B25" s="5"/>
      <c r="C25" s="5"/>
      <c r="D25" s="5"/>
      <c r="E25" s="5"/>
      <c r="F25" s="5"/>
    </row>
    <row r="26" spans="2:6" x14ac:dyDescent="0.15">
      <c r="B26" s="4"/>
      <c r="C26" s="5"/>
      <c r="D26" s="5"/>
      <c r="E26" s="5"/>
      <c r="F26" s="5"/>
    </row>
    <row r="27" spans="2:6" x14ac:dyDescent="0.15">
      <c r="B27" s="5"/>
      <c r="C27" s="5"/>
      <c r="D27" s="5"/>
      <c r="E27" s="5"/>
      <c r="F27" s="5"/>
    </row>
    <row r="28" spans="2:6" x14ac:dyDescent="0.15">
      <c r="B28" s="4"/>
      <c r="C28" s="5"/>
      <c r="D28" s="5"/>
      <c r="E28" s="5"/>
      <c r="F28" s="5"/>
    </row>
    <row r="29" spans="2:6" x14ac:dyDescent="0.15">
      <c r="B29" s="5"/>
      <c r="C29" s="5"/>
      <c r="D29" s="5"/>
      <c r="E29" s="5"/>
      <c r="F29" s="5"/>
    </row>
    <row r="30" spans="2:6" x14ac:dyDescent="0.15">
      <c r="B30" s="4"/>
      <c r="C30" s="5"/>
      <c r="D30" s="5"/>
      <c r="E30" s="5"/>
      <c r="F30" s="5"/>
    </row>
    <row r="31" spans="2:6" x14ac:dyDescent="0.15">
      <c r="B31" s="5"/>
      <c r="C31" s="5"/>
      <c r="D31" s="5"/>
      <c r="E31" s="5"/>
      <c r="F31" s="5"/>
    </row>
  </sheetData>
  <mergeCells count="70">
    <mergeCell ref="C30:C31"/>
    <mergeCell ref="E8:E9"/>
    <mergeCell ref="B12:B13"/>
    <mergeCell ref="C4:C5"/>
    <mergeCell ref="B18:B19"/>
    <mergeCell ref="E4:E5"/>
    <mergeCell ref="C20:C21"/>
    <mergeCell ref="B28:B29"/>
    <mergeCell ref="B30:B31"/>
    <mergeCell ref="D30:D31"/>
    <mergeCell ref="C28:C29"/>
    <mergeCell ref="F12:F13"/>
    <mergeCell ref="E20:E21"/>
    <mergeCell ref="B8:B9"/>
    <mergeCell ref="C10:C11"/>
    <mergeCell ref="F20:F21"/>
    <mergeCell ref="C16:C17"/>
    <mergeCell ref="E10:E11"/>
    <mergeCell ref="F16:F17"/>
    <mergeCell ref="C14:C15"/>
    <mergeCell ref="E18:E19"/>
    <mergeCell ref="D26:D27"/>
    <mergeCell ref="E22:E23"/>
    <mergeCell ref="B16:B17"/>
    <mergeCell ref="C6:C7"/>
    <mergeCell ref="C24:C25"/>
    <mergeCell ref="B26:B27"/>
    <mergeCell ref="F30:F31"/>
    <mergeCell ref="F8:F9"/>
    <mergeCell ref="F26:F27"/>
    <mergeCell ref="D4:D5"/>
    <mergeCell ref="C12:C13"/>
    <mergeCell ref="F22:F23"/>
    <mergeCell ref="E28:E29"/>
    <mergeCell ref="D16:D17"/>
    <mergeCell ref="E6:E7"/>
    <mergeCell ref="D12:D13"/>
    <mergeCell ref="D28:D29"/>
    <mergeCell ref="D24:D25"/>
    <mergeCell ref="E14:E15"/>
    <mergeCell ref="E30:E31"/>
    <mergeCell ref="C8:C9"/>
    <mergeCell ref="D18:D19"/>
    <mergeCell ref="F28:F29"/>
    <mergeCell ref="D8:D9"/>
    <mergeCell ref="C18:C19"/>
    <mergeCell ref="B20:B21"/>
    <mergeCell ref="E16:E17"/>
    <mergeCell ref="D20:D21"/>
    <mergeCell ref="E26:E27"/>
    <mergeCell ref="D14:D15"/>
    <mergeCell ref="F14:F15"/>
    <mergeCell ref="E24:E25"/>
    <mergeCell ref="D10:D11"/>
    <mergeCell ref="B22:B23"/>
    <mergeCell ref="E12:E13"/>
    <mergeCell ref="C26:C27"/>
    <mergeCell ref="B14:B15"/>
    <mergeCell ref="C22:C23"/>
    <mergeCell ref="A6:A7"/>
    <mergeCell ref="F24:F25"/>
    <mergeCell ref="D22:D23"/>
    <mergeCell ref="A4:A5"/>
    <mergeCell ref="F10:F11"/>
    <mergeCell ref="B4:B5"/>
    <mergeCell ref="F18:F19"/>
    <mergeCell ref="B10:B11"/>
    <mergeCell ref="B6:B7"/>
    <mergeCell ref="B24:B25"/>
    <mergeCell ref="D6:D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1"/>
  <sheetViews>
    <sheetView showOutlineSymbols="0" showWhiteSpace="0" topLeftCell="L1" zoomScale="75" workbookViewId="0">
      <selection sqref="A1:AG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  <c r="S1" t="s">
        <v>116</v>
      </c>
      <c r="T1" t="s">
        <v>117</v>
      </c>
      <c r="U1" t="s">
        <v>118</v>
      </c>
      <c r="V1" t="s">
        <v>119</v>
      </c>
      <c r="W1" t="s">
        <v>120</v>
      </c>
      <c r="X1" t="s">
        <v>121</v>
      </c>
      <c r="Y1" t="s">
        <v>122</v>
      </c>
      <c r="Z1" t="s">
        <v>123</v>
      </c>
      <c r="AA1" t="s">
        <v>124</v>
      </c>
      <c r="AB1" t="s">
        <v>125</v>
      </c>
      <c r="AC1" t="s">
        <v>126</v>
      </c>
      <c r="AD1" t="s">
        <v>127</v>
      </c>
      <c r="AE1" t="s">
        <v>128</v>
      </c>
      <c r="AF1" t="s">
        <v>129</v>
      </c>
      <c r="AG1" t="s">
        <v>130</v>
      </c>
    </row>
    <row r="2" spans="1:33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1.3164285714285715</v>
      </c>
      <c r="I2" s="1">
        <f t="shared" si="0"/>
        <v>9.1428571428571423</v>
      </c>
      <c r="J2" s="1">
        <f t="shared" si="0"/>
        <v>3.7857142857142856</v>
      </c>
      <c r="K2" s="1">
        <f>IFERROR(SUM(J4,J6,J8,J10,J12,J14,J16,J18,J20,J22,J24,J26,J28,J30)/SUM(I4,I6,I8,I10,I12,I14,I16,I18,I20,I22,I24,I26,I28,I30)*100,0)</f>
        <v>41.40625</v>
      </c>
      <c r="L2" s="1">
        <f>AVERAGE(L4,L6,L8,L10,L12,L14,L16,L18,L20,L22,L24,L26,L28,L30)</f>
        <v>28.642857142857142</v>
      </c>
      <c r="M2" s="1">
        <f>AVERAGE(M4,M6,M8,M10,M12,M14,M16,M18,M20,M22,M24,M26,M28,M30)</f>
        <v>5.7142857142857144</v>
      </c>
      <c r="N2" s="1">
        <f>IFERROR(SUM(M4,M6,M8,M10,M12,M14,M16,M18,M20,M22,M24,M26,M28,M30)/SUM(L4,L6,L8,L10,L12,L14,L16,L18,L20,L22,L24,L26,L28,L30)*100,0)</f>
        <v>19.950124688279303</v>
      </c>
      <c r="O2" s="1">
        <f>AVERAGE(O4,O6,O8,O10,O12,O14,O16,O18,O20,O22,O24,O26,O28,O30)</f>
        <v>0.5714285714285714</v>
      </c>
      <c r="P2" s="1">
        <f>AVERAGE(P4,P6,P8,P10,P12,P14,P16,P18,P20,P22,P24,P26,P28,P30)</f>
        <v>0.2857142857142857</v>
      </c>
      <c r="Q2" s="1">
        <f>IFERROR(SUM(P4,P6,P8,P10,P12,P14,P16,P18,P20,P22,P24,P26,P28,P30)/SUM(O4,O6,O8,O10,O12,O14,O16,O18,O20,O22,O24,O26,O28,O30)*100,0)</f>
        <v>50</v>
      </c>
      <c r="R2" s="1">
        <f>AVERAGE(R4,R6,R8,R10,R12,R14,R16,R18,R20,R22,R24,R26,R28,R30)</f>
        <v>3.2857142857142856</v>
      </c>
      <c r="S2" s="1">
        <f>AVERAGE(S4,S6,S8,S10,S12,S14,S16,S18,S20,S22,S24,S26,S28,S30)</f>
        <v>1.2857142857142858</v>
      </c>
      <c r="T2" s="1">
        <f>IFERROR(SUM(S4,S6,S8,S10,S12,S14,S16,S18,S20,S22,S24,S26,S28,S30)/SUM(R4,R6,R8,R10,R12,R14,R16,R18,R20,R22,R24,R26,R28,R30)*100,0)</f>
        <v>39.130434782608695</v>
      </c>
      <c r="U2" s="1">
        <f>AVERAGE(U4,U6,U8,U10,U12,U14,U16,U18,U20,U22,U24,U26,U28,U30)</f>
        <v>3.0714285714285716</v>
      </c>
      <c r="V2" s="1">
        <f>AVERAGE(V4,V6,V8,V10,V12,V14,V16,V18,V20,V22,V24,V26,V28,V30)</f>
        <v>0.7857142857142857</v>
      </c>
      <c r="W2" s="1">
        <f>IFERROR(SUM(V4,V6,V8,V10,V12,V14,V16,V18,V20,V22,V24,V26,V28,V30)/SUM(U4,U6,U8,U10,U12,U14,U16,U18,U20,U22,U24,U26,U28,U30)*100,0)</f>
        <v>25.581395348837212</v>
      </c>
      <c r="X2" s="1">
        <f>AVERAGE(X4,X6,X8,X10,X12,X14,X16,X18,X20,X22,X24,X26,X28,X30)</f>
        <v>7.1428571428571425E-2</v>
      </c>
      <c r="Y2" s="1">
        <f>AVERAGE(Y4,Y6,Y8,Y10,Y12,Y14,Y16,Y18,Y20,Y22,Y24,Y26,Y28,Y30)</f>
        <v>0</v>
      </c>
      <c r="Z2" s="1">
        <f>IFERROR(SUM(Y4,Y6,Y8,Y10,Y12,Y14,Y16,Y18,Y20,Y22,Y24,Y26,Y28,Y30)/SUM(X4,X6,X8,X10,X12,X14,X16,X18,X20,X22,X24,X26,X28,X30)*100,0)</f>
        <v>0</v>
      </c>
      <c r="AA2" s="1">
        <f>AVERAGE(AA4,AA6,AA8,AA10,AA12,AA14,AA16,AA18,AA20,AA22,AA24,AA26,AA28,AA30)</f>
        <v>14.357142857142858</v>
      </c>
      <c r="AB2" s="1">
        <f>AVERAGE(AB4,AB6,AB8,AB10,AB12,AB14,AB16,AB18,AB20,AB22,AB24,AB26,AB28,AB30)</f>
        <v>3.7857142857142856</v>
      </c>
      <c r="AC2" s="1">
        <f>IFERROR(SUM(AB4,AB6,AB8,AB10,AB12,AB14,AB16,AB18,AB20,AB22,AB24,AB26,AB28,AB30)/SUM(AA4,AA6,AA8,AA10,AA12,AA14,AA16,AA18,AA20,AA22,AA24,AA26,AA28,AA30)*100,0)</f>
        <v>26.368159203980102</v>
      </c>
      <c r="AD2" s="1">
        <f>AVERAGE(AD4,AD6,AD8,AD10,AD12,AD14,AD16,AD18,AD20,AD22,AD24,AD26,AD28,AD30)</f>
        <v>64</v>
      </c>
      <c r="AE2" s="1">
        <f>AVERAGE(AE4,AE6,AE8,AE10,AE12,AE14,AE16,AE18,AE20,AE22,AE24,AE26,AE28,AE30)</f>
        <v>22.428571428571427</v>
      </c>
      <c r="AF2" s="1">
        <f>IFERROR(SUM(AE4,AE6,AE8,AE10,AE12,AE14,AE16,AE18,AE20,AE22,AE24,AE26,AE28,AE30)/SUM(AD4,AD6,AD8,AD10,AD12,AD14,AD16,AD18,AD20,AD22,AD24,AD26,AD28,AD30)*100,0)</f>
        <v>35.044642857142854</v>
      </c>
      <c r="AG2" s="1">
        <f>AVERAGE(AG4,AG6,AG8,AG10,AG12,AG14,AG16,AG18,AG20,AG22,AG24,AG26,AG28,AG30)</f>
        <v>2</v>
      </c>
    </row>
    <row r="3" spans="1:33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1.587142857142857</v>
      </c>
      <c r="I3" s="1">
        <f t="shared" si="0"/>
        <v>11.071428571428571</v>
      </c>
      <c r="J3" s="1">
        <f t="shared" si="0"/>
        <v>4.1428571428571432</v>
      </c>
      <c r="K3" s="1">
        <f>IFERROR(SUM(J5,J7,J9,J11,J13,J15,J17,J19,J21,J23,J25,J27,J29,J31)/SUM(I5,I7,I9,I11,I13,I15,I17,I19,I21,I23,I25,I27,I29,I31)*100,0)</f>
        <v>37.41935483870968</v>
      </c>
      <c r="L3" s="1">
        <f>AVERAGE(L5,L7,L9,L11,L13,L15,L17,L19,L21,L23,L25,L27,L29,L31)</f>
        <v>27.857142857142858</v>
      </c>
      <c r="M3" s="1">
        <f>AVERAGE(M5,M7,M9,M11,M13,M15,M17,M19,M21,M23,M25,M27,M29,M31)</f>
        <v>7.0714285714285712</v>
      </c>
      <c r="N3" s="1">
        <f>IFERROR(SUM(M5,M7,M9,M11,M13,M15,M17,M19,M21,M23,M25,M27,M29,M31)/SUM(L5,L7,L9,L11,L13,L15,L17,L19,L21,L23,L25,L27,L29,L31)*100,0)</f>
        <v>25.384615384615383</v>
      </c>
      <c r="O3" s="1">
        <f>AVERAGE(O5,O7,O9,O11,O13,O15,O17,O19,O21,O23,O25,O27,O29,O31)</f>
        <v>1</v>
      </c>
      <c r="P3" s="1">
        <f>AVERAGE(P5,P7,P9,P11,P13,P15,P17,P19,P21,P23,P25,P27,P29,P31)</f>
        <v>0.5</v>
      </c>
      <c r="Q3" s="1">
        <f>IFERROR(SUM(P5,P7,P9,P11,P13,P15,P17,P19,P21,P23,P25,P27,P29,P31)/SUM(O5,O7,O9,O11,O13,O15,O17,O19,O21,O23,O25,O27,O29,O31)*100,0)</f>
        <v>50</v>
      </c>
      <c r="R3" s="1">
        <f>AVERAGE(R5,R7,R9,R11,R13,R15,R17,R19,R21,R23,R25,R27,R29,R31)</f>
        <v>3.8571428571428572</v>
      </c>
      <c r="S3" s="1">
        <f>AVERAGE(S5,S7,S9,S11,S13,S15,S17,S19,S21,S23,S25,S27,S29,S31)</f>
        <v>0.9285714285714286</v>
      </c>
      <c r="T3" s="1">
        <f>IFERROR(SUM(S5,S7,S9,S11,S13,S15,S17,S19,S21,S23,S25,S27,S29,S31)/SUM(R5,R7,R9,R11,R13,R15,R17,R19,R21,R23,R25,R27,R29,R31)*100,0)</f>
        <v>24.074074074074073</v>
      </c>
      <c r="U3" s="1">
        <f>AVERAGE(U5,U7,U9,U11,U13,U15,U17,U19,U21,U23,U25,U27,U29,U31)</f>
        <v>2.3571428571428572</v>
      </c>
      <c r="V3" s="1">
        <f>AVERAGE(V5,V7,V9,V11,V13,V15,V17,V19,V21,V23,V25,V27,V29,V31)</f>
        <v>0.8571428571428571</v>
      </c>
      <c r="W3" s="1">
        <f>IFERROR(SUM(V5,V7,V9,V11,V13,V15,V17,V19,V21,V23,V25,V27,V29,V31)/SUM(U5,U7,U9,U11,U13,U15,U17,U19,U21,U23,U25,U27,U29,U31)*100,0)</f>
        <v>36.363636363636367</v>
      </c>
      <c r="X3" s="1">
        <f>AVERAGE(X5,X7,X9,X11,X13,X15,X17,X19,X21,X23,X25,X27,X29,X31)</f>
        <v>0.35714285714285715</v>
      </c>
      <c r="Y3" s="1">
        <f>AVERAGE(Y5,Y7,Y9,Y11,Y13,Y15,Y17,Y19,Y21,Y23,Y25,Y27,Y29,Y31)</f>
        <v>0.21428571428571427</v>
      </c>
      <c r="Z3" s="1">
        <f>IFERROR(SUM(Y5,Y7,Y9,Y11,Y13,Y15,Y17,Y19,Y21,Y23,Y25,Y27,Y29,Y31)/SUM(X5,X7,X9,X11,X13,X15,X17,X19,X21,X23,X25,X27,X29,X31)*100,0)</f>
        <v>60</v>
      </c>
      <c r="AA3" s="1">
        <f>AVERAGE(AA5,AA7,AA9,AA11,AA13,AA15,AA17,AA19,AA21,AA23,AA25,AA27,AA29,AA31)</f>
        <v>14</v>
      </c>
      <c r="AB3" s="1">
        <f>AVERAGE(AB5,AB7,AB9,AB11,AB13,AB15,AB17,AB19,AB21,AB23,AB25,AB27,AB29,AB31)</f>
        <v>3.8571428571428572</v>
      </c>
      <c r="AC3" s="1">
        <f>IFERROR(SUM(AB5,AB7,AB9,AB11,AB13,AB15,AB17,AB19,AB21,AB23,AB25,AB27,AB29,AB31)/SUM(AA5,AA7,AA9,AA11,AA13,AA15,AA17,AA19,AA21,AA23,AA25,AA27,AA29,AA31)*100,0)</f>
        <v>27.551020408163261</v>
      </c>
      <c r="AD3" s="1">
        <f>AVERAGE(AD5,AD7,AD9,AD11,AD13,AD15,AD17,AD19,AD21,AD23,AD25,AD27,AD29,AD31)</f>
        <v>70.642857142857139</v>
      </c>
      <c r="AE3" s="1">
        <f>AVERAGE(AE5,AE7,AE9,AE11,AE13,AE15,AE17,AE19,AE21,AE23,AE25,AE27,AE29,AE31)</f>
        <v>23.571428571428573</v>
      </c>
      <c r="AF3" s="1">
        <f>IFERROR(SUM(AE5,AE7,AE9,AE11,AE13,AE15,AE17,AE19,AE21,AE23,AE25,AE27,AE29,AE31)/SUM(AD5,AD7,AD9,AD11,AD13,AD15,AD17,AD19,AD21,AD23,AD25,AD27,AD29,AD31)*100,0)</f>
        <v>33.367037411526795</v>
      </c>
      <c r="AG3" s="1">
        <f>AVERAGE(AG5,AG7,AG9,AG11,AG13,AG15,AG17,AG19,AG21,AG23,AG25,AG27,AG29,AG31)</f>
        <v>4.6428571428571432</v>
      </c>
    </row>
    <row r="4" spans="1:33" ht="12" customHeight="1" x14ac:dyDescent="0.15">
      <c r="A4" s="4" t="s">
        <v>29</v>
      </c>
      <c r="B4" s="5" t="s">
        <v>30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4" t="s">
        <v>36</v>
      </c>
      <c r="B6" s="5" t="s">
        <v>37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4" t="s">
        <v>42</v>
      </c>
      <c r="B8" s="5" t="s">
        <v>43</v>
      </c>
      <c r="C8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5"/>
      <c r="B9" s="5"/>
      <c r="C9" t="s">
        <v>44</v>
      </c>
      <c r="D9" s="5"/>
      <c r="E9" s="5"/>
      <c r="F9" t="s">
        <v>45</v>
      </c>
      <c r="G9" t="s">
        <v>41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4" t="s">
        <v>46</v>
      </c>
      <c r="B10" s="5" t="s">
        <v>47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4" t="s">
        <v>52</v>
      </c>
      <c r="B12" s="5" t="s">
        <v>53</v>
      </c>
      <c r="C12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5"/>
      <c r="B13" s="5"/>
      <c r="C13" t="s">
        <v>54</v>
      </c>
      <c r="D13" s="5"/>
      <c r="E13" s="5"/>
      <c r="F13" t="s">
        <v>56</v>
      </c>
      <c r="G13" t="s">
        <v>57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4" t="s">
        <v>58</v>
      </c>
      <c r="B14" s="5" t="s">
        <v>59</v>
      </c>
      <c r="C14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5"/>
      <c r="B15" s="5"/>
      <c r="C15" t="s">
        <v>60</v>
      </c>
      <c r="D15" s="5"/>
      <c r="E15" s="5"/>
      <c r="F15" t="s">
        <v>62</v>
      </c>
      <c r="G15" t="s">
        <v>63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4" t="s">
        <v>64</v>
      </c>
      <c r="B16" s="5" t="s">
        <v>65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4" t="s">
        <v>69</v>
      </c>
      <c r="B18" s="5" t="s">
        <v>70</v>
      </c>
      <c r="C18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5"/>
      <c r="B19" s="5"/>
      <c r="C19" t="s">
        <v>71</v>
      </c>
      <c r="D19" s="5"/>
      <c r="E19" s="5"/>
      <c r="F19" t="s">
        <v>72</v>
      </c>
      <c r="G19" t="s">
        <v>55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4" t="s">
        <v>73</v>
      </c>
      <c r="B20" s="5" t="s">
        <v>74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  <row r="28" spans="1:33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0.57999999999999996</v>
      </c>
      <c r="I28">
        <v>8</v>
      </c>
      <c r="J28">
        <v>2</v>
      </c>
      <c r="K28">
        <v>25</v>
      </c>
      <c r="L28">
        <v>29</v>
      </c>
      <c r="M28">
        <v>5</v>
      </c>
      <c r="N28">
        <v>17.239999999999998</v>
      </c>
      <c r="O28">
        <v>0</v>
      </c>
      <c r="P28">
        <v>0</v>
      </c>
      <c r="Q28">
        <v>0</v>
      </c>
      <c r="R28">
        <v>3</v>
      </c>
      <c r="S28">
        <v>2</v>
      </c>
      <c r="T28">
        <v>66.67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14</v>
      </c>
      <c r="AB28">
        <v>4</v>
      </c>
      <c r="AC28">
        <v>28.57</v>
      </c>
      <c r="AD28">
        <v>51</v>
      </c>
      <c r="AE28">
        <v>23</v>
      </c>
      <c r="AF28">
        <v>45.1</v>
      </c>
      <c r="AG28">
        <v>2</v>
      </c>
    </row>
    <row r="29" spans="1:33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2.31</v>
      </c>
      <c r="I29">
        <v>11</v>
      </c>
      <c r="J29">
        <v>6</v>
      </c>
      <c r="K29">
        <v>54.55</v>
      </c>
      <c r="L29">
        <v>21</v>
      </c>
      <c r="M29">
        <v>6</v>
      </c>
      <c r="N29">
        <v>28.57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4</v>
      </c>
      <c r="V29">
        <v>3</v>
      </c>
      <c r="W29">
        <v>75</v>
      </c>
      <c r="X29">
        <v>1</v>
      </c>
      <c r="Y29">
        <v>1</v>
      </c>
      <c r="Z29">
        <v>100</v>
      </c>
      <c r="AA29">
        <v>16</v>
      </c>
      <c r="AB29">
        <v>6</v>
      </c>
      <c r="AC29">
        <v>37.5</v>
      </c>
      <c r="AD29">
        <v>60</v>
      </c>
      <c r="AE29">
        <v>22</v>
      </c>
      <c r="AF29">
        <v>36.67</v>
      </c>
      <c r="AG29">
        <v>4</v>
      </c>
    </row>
    <row r="30" spans="1:33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1.34</v>
      </c>
      <c r="I30">
        <v>9</v>
      </c>
      <c r="J30">
        <v>1</v>
      </c>
      <c r="K30">
        <v>11.11</v>
      </c>
      <c r="L30">
        <v>27</v>
      </c>
      <c r="M30">
        <v>5</v>
      </c>
      <c r="N30">
        <v>18.52</v>
      </c>
      <c r="O30">
        <v>0</v>
      </c>
      <c r="P30">
        <v>0</v>
      </c>
      <c r="Q30">
        <v>0</v>
      </c>
      <c r="R30">
        <v>5</v>
      </c>
      <c r="S30">
        <v>3</v>
      </c>
      <c r="T30">
        <v>60</v>
      </c>
      <c r="U30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14</v>
      </c>
      <c r="AB30">
        <v>6</v>
      </c>
      <c r="AC30">
        <v>42.86</v>
      </c>
      <c r="AD30">
        <v>51</v>
      </c>
      <c r="AE30">
        <v>18</v>
      </c>
      <c r="AF30">
        <v>35.29</v>
      </c>
      <c r="AG30">
        <v>3</v>
      </c>
    </row>
    <row r="31" spans="1:33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2.5099999999999998</v>
      </c>
      <c r="I31">
        <v>14</v>
      </c>
      <c r="J31">
        <v>5</v>
      </c>
      <c r="K31">
        <v>35.71</v>
      </c>
      <c r="L31">
        <v>26</v>
      </c>
      <c r="M31">
        <v>8</v>
      </c>
      <c r="N31">
        <v>30.77</v>
      </c>
      <c r="O31">
        <v>0</v>
      </c>
      <c r="P31">
        <v>0</v>
      </c>
      <c r="Q31">
        <v>0</v>
      </c>
      <c r="R31">
        <v>6</v>
      </c>
      <c r="S31">
        <v>2</v>
      </c>
      <c r="T31">
        <v>33.33</v>
      </c>
      <c r="U31">
        <v>2</v>
      </c>
      <c r="V31">
        <v>0</v>
      </c>
      <c r="W31">
        <v>0</v>
      </c>
      <c r="X31">
        <v>1</v>
      </c>
      <c r="Y31">
        <v>1</v>
      </c>
      <c r="Z31">
        <v>100</v>
      </c>
      <c r="AA31">
        <v>18</v>
      </c>
      <c r="AB31">
        <v>6</v>
      </c>
      <c r="AC31">
        <v>33.33</v>
      </c>
      <c r="AD31">
        <v>67</v>
      </c>
      <c r="AE31">
        <v>28</v>
      </c>
      <c r="AF31">
        <v>41.79</v>
      </c>
      <c r="AG31">
        <v>7</v>
      </c>
    </row>
  </sheetData>
  <mergeCells count="66">
    <mergeCell ref="E20:E21"/>
    <mergeCell ref="B8:B9"/>
    <mergeCell ref="A16:A17"/>
    <mergeCell ref="C10:C11"/>
    <mergeCell ref="C16:C17"/>
    <mergeCell ref="E10:E11"/>
    <mergeCell ref="E8:E9"/>
    <mergeCell ref="B12:B13"/>
    <mergeCell ref="C4:C5"/>
    <mergeCell ref="B18:B19"/>
    <mergeCell ref="E4:E5"/>
    <mergeCell ref="A12:A13"/>
    <mergeCell ref="D4:D5"/>
    <mergeCell ref="A26:A27"/>
    <mergeCell ref="A18:A19"/>
    <mergeCell ref="A14:A15"/>
    <mergeCell ref="A4:A5"/>
    <mergeCell ref="B4:B5"/>
    <mergeCell ref="A24:A25"/>
    <mergeCell ref="C20:C21"/>
    <mergeCell ref="A6:A7"/>
    <mergeCell ref="C26:C27"/>
    <mergeCell ref="A8:A9"/>
    <mergeCell ref="A22:A23"/>
    <mergeCell ref="D18:D19"/>
    <mergeCell ref="D8:D9"/>
    <mergeCell ref="A20:A21"/>
    <mergeCell ref="B20:B21"/>
    <mergeCell ref="A10:A11"/>
    <mergeCell ref="D20:D21"/>
    <mergeCell ref="D14:D15"/>
    <mergeCell ref="D10:D11"/>
    <mergeCell ref="D16:D17"/>
    <mergeCell ref="D12:D13"/>
    <mergeCell ref="B10:B11"/>
    <mergeCell ref="B22:B23"/>
    <mergeCell ref="B14:B15"/>
    <mergeCell ref="C22:C23"/>
    <mergeCell ref="B16:B17"/>
    <mergeCell ref="C6:C7"/>
    <mergeCell ref="C24:C25"/>
    <mergeCell ref="B26:B27"/>
    <mergeCell ref="E24:E25"/>
    <mergeCell ref="E14:E15"/>
    <mergeCell ref="E16:E17"/>
    <mergeCell ref="E26:E27"/>
    <mergeCell ref="E6:E7"/>
    <mergeCell ref="B6:B7"/>
    <mergeCell ref="B24:B25"/>
    <mergeCell ref="D24:D25"/>
    <mergeCell ref="D6:D7"/>
    <mergeCell ref="E12:E13"/>
    <mergeCell ref="E18:E19"/>
    <mergeCell ref="D26:D27"/>
    <mergeCell ref="A30:A31"/>
    <mergeCell ref="D22:D23"/>
    <mergeCell ref="A28:A29"/>
    <mergeCell ref="E22:E23"/>
    <mergeCell ref="C28:C29"/>
    <mergeCell ref="E30:E31"/>
    <mergeCell ref="B30:B31"/>
    <mergeCell ref="D30:D31"/>
    <mergeCell ref="E28:E29"/>
    <mergeCell ref="B28:B29"/>
    <mergeCell ref="D28:D29"/>
    <mergeCell ref="C30:C3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1"/>
  <sheetViews>
    <sheetView showOutlineSymbols="0" showWhiteSpace="0" topLeftCell="G1" zoomScale="59" zoomScaleNormal="50" workbookViewId="0">
      <selection activeCell="O53" sqref="O53:Y53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  <c r="S1" t="s">
        <v>116</v>
      </c>
      <c r="T1" t="s">
        <v>117</v>
      </c>
      <c r="U1" t="s">
        <v>118</v>
      </c>
      <c r="V1" t="s">
        <v>119</v>
      </c>
      <c r="W1" t="s">
        <v>120</v>
      </c>
      <c r="X1" t="s">
        <v>121</v>
      </c>
      <c r="Y1" t="s">
        <v>122</v>
      </c>
      <c r="Z1" t="s">
        <v>123</v>
      </c>
      <c r="AA1" t="s">
        <v>124</v>
      </c>
      <c r="AB1" t="s">
        <v>125</v>
      </c>
      <c r="AC1" t="s">
        <v>126</v>
      </c>
      <c r="AD1" t="s">
        <v>127</v>
      </c>
      <c r="AE1" t="s">
        <v>128</v>
      </c>
      <c r="AF1" t="s">
        <v>129</v>
      </c>
      <c r="AG1" t="s">
        <v>130</v>
      </c>
    </row>
    <row r="2" spans="1:3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AVERAGE(H4,H6)</f>
        <v>1.2850000000000001</v>
      </c>
      <c r="I2" s="1">
        <f t="shared" si="0"/>
        <v>13.5</v>
      </c>
      <c r="J2" s="1">
        <f t="shared" si="0"/>
        <v>7.5</v>
      </c>
      <c r="K2" s="1">
        <f>IFERROR(SUM(J4,J6)/SUM(I4,I6)*100,0)</f>
        <v>55.555555555555557</v>
      </c>
      <c r="L2" s="1">
        <f>AVERAGE(L4,L6)</f>
        <v>23.5</v>
      </c>
      <c r="M2" s="1">
        <f>AVERAGE(M4,M6)</f>
        <v>8.5</v>
      </c>
      <c r="N2" s="1">
        <f>IFERROR(SUM(M4,M6)/SUM(L4,L6)*100,0)</f>
        <v>36.170212765957451</v>
      </c>
      <c r="O2" s="1">
        <f>AVERAGE(O4,O6)</f>
        <v>0</v>
      </c>
      <c r="P2" s="1">
        <f>AVERAGE(P4,P6)</f>
        <v>0</v>
      </c>
      <c r="Q2" s="1">
        <f>IFERROR(SUM(P4,P6)/SUM(O4,O6)*100,0)</f>
        <v>0</v>
      </c>
      <c r="R2" s="1">
        <f>AVERAGE(R4,R6)</f>
        <v>5</v>
      </c>
      <c r="S2" s="1">
        <f>AVERAGE(S4,S6)</f>
        <v>2</v>
      </c>
      <c r="T2" s="1">
        <f>IFERROR(SUM(S4,S6)/SUM(R4,R6)*100,0)</f>
        <v>40</v>
      </c>
      <c r="U2" s="1">
        <f>AVERAGE(U4,U6)</f>
        <v>3.5</v>
      </c>
      <c r="V2" s="1">
        <f>AVERAGE(V4,V6)</f>
        <v>0</v>
      </c>
      <c r="W2" s="1">
        <f>IFERROR(SUM(V4,V6)/SUM(U4,U6)*100,0)</f>
        <v>0</v>
      </c>
      <c r="X2" s="1">
        <f>AVERAGE(X4,X6)</f>
        <v>0</v>
      </c>
      <c r="Y2" s="1">
        <f>AVERAGE(Y4,Y6)</f>
        <v>0</v>
      </c>
      <c r="Z2" s="1">
        <f>IFERROR(SUM(Y4,Y6)/SUM(X4,X6)*100,0)</f>
        <v>0</v>
      </c>
      <c r="AA2" s="1">
        <f>AVERAGE(AA4,AA6)</f>
        <v>12</v>
      </c>
      <c r="AB2" s="1">
        <f>AVERAGE(AB4,AB6)</f>
        <v>4.5</v>
      </c>
      <c r="AC2" s="1">
        <f>IFERROR(SUM(AB4,AB6)/SUM(AA4,AA6)*100,0)</f>
        <v>37.5</v>
      </c>
      <c r="AD2" s="1">
        <f>AVERAGE(AD4,AD6)</f>
        <v>34</v>
      </c>
      <c r="AE2" s="1">
        <f>AVERAGE(AE4,AE6)</f>
        <v>13.5</v>
      </c>
      <c r="AF2" s="1">
        <f>IFERROR(SUM(AE4,AE6)/SUM(AD4,AD6)*100,0)</f>
        <v>39.705882352941174</v>
      </c>
      <c r="AG2" s="1">
        <f>AVERAGE(AG4,AG6)</f>
        <v>3.5</v>
      </c>
    </row>
    <row r="3" spans="1:3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1.365</v>
      </c>
      <c r="I3" s="1">
        <f t="shared" si="0"/>
        <v>9.5</v>
      </c>
      <c r="J3" s="1">
        <f t="shared" si="0"/>
        <v>4.5</v>
      </c>
      <c r="K3" s="1">
        <f>IFERROR(SUM(J5,J7)/SUM(I5,I7)*100,0)</f>
        <v>47.368421052631575</v>
      </c>
      <c r="L3" s="1">
        <f>AVERAGE(L5,L7)</f>
        <v>26.5</v>
      </c>
      <c r="M3" s="1">
        <f>AVERAGE(M5,M7)</f>
        <v>6.5</v>
      </c>
      <c r="N3" s="1">
        <f>IFERROR(SUM(M5,M7)/SUM(L5,L7)*100,0)</f>
        <v>24.528301886792452</v>
      </c>
      <c r="O3" s="1">
        <f>AVERAGE(O5,O7)</f>
        <v>0</v>
      </c>
      <c r="P3" s="1">
        <f>AVERAGE(P5,P7)</f>
        <v>0</v>
      </c>
      <c r="Q3" s="1">
        <f>IFERROR(SUM(P5,P7)/SUM(O5,O7)*100,0)</f>
        <v>0</v>
      </c>
      <c r="R3" s="1">
        <f>AVERAGE(R5,R7)</f>
        <v>2.5</v>
      </c>
      <c r="S3" s="1">
        <f>AVERAGE(S5,S7)</f>
        <v>0</v>
      </c>
      <c r="T3" s="1">
        <f>IFERROR(SUM(S5,S7)/SUM(R5,R7)*100,0)</f>
        <v>0</v>
      </c>
      <c r="U3" s="1">
        <f>AVERAGE(U5,U7)</f>
        <v>2.5</v>
      </c>
      <c r="V3" s="1">
        <f>AVERAGE(V5,V7)</f>
        <v>0</v>
      </c>
      <c r="W3" s="1">
        <f>IFERROR(SUM(V5,V7)/SUM(U5,U7)*100,0)</f>
        <v>0</v>
      </c>
      <c r="X3" s="1">
        <f>AVERAGE(X5,X7)</f>
        <v>0.5</v>
      </c>
      <c r="Y3" s="1">
        <f>AVERAGE(Y5,Y7)</f>
        <v>0</v>
      </c>
      <c r="Z3" s="1">
        <f>IFERROR(SUM(Y5,Y7)/SUM(X5,X7)*100,0)</f>
        <v>0</v>
      </c>
      <c r="AA3" s="1">
        <f>AVERAGE(AA5,AA7)</f>
        <v>12.5</v>
      </c>
      <c r="AB3" s="1">
        <f>AVERAGE(AB5,AB7)</f>
        <v>3</v>
      </c>
      <c r="AC3" s="1">
        <f>IFERROR(SUM(AB5,AB7)/SUM(AA5,AA7)*100,0)</f>
        <v>24</v>
      </c>
      <c r="AD3" s="1">
        <f>AVERAGE(AD5,AD7)</f>
        <v>55.5</v>
      </c>
      <c r="AE3" s="1">
        <f>AVERAGE(AE5,AE7)</f>
        <v>28.5</v>
      </c>
      <c r="AF3" s="1">
        <f>IFERROR(SUM(AE5,AE7)/SUM(AD5,AD7)*100,0)</f>
        <v>51.351351351351347</v>
      </c>
      <c r="AG3" s="1">
        <f>AVERAGE(AG5,AG7)</f>
        <v>2.5</v>
      </c>
    </row>
    <row r="4" spans="1:33" ht="12" customHeight="1" x14ac:dyDescent="0.15">
      <c r="A4" s="6" t="s">
        <v>214</v>
      </c>
      <c r="B4" s="5" t="s">
        <v>216</v>
      </c>
      <c r="C4" s="5" t="s">
        <v>215</v>
      </c>
      <c r="D4" s="5" t="s">
        <v>106</v>
      </c>
      <c r="E4" s="5">
        <v>106</v>
      </c>
      <c r="F4" t="s">
        <v>27</v>
      </c>
      <c r="G4" t="s">
        <v>39</v>
      </c>
      <c r="H4">
        <v>1.56</v>
      </c>
      <c r="I4">
        <v>13</v>
      </c>
      <c r="J4">
        <v>8</v>
      </c>
      <c r="K4">
        <v>61.54</v>
      </c>
      <c r="L4">
        <v>16</v>
      </c>
      <c r="M4">
        <v>9</v>
      </c>
      <c r="N4">
        <v>56.25</v>
      </c>
      <c r="O4">
        <v>0</v>
      </c>
      <c r="P4">
        <v>0</v>
      </c>
      <c r="Q4">
        <v>0</v>
      </c>
      <c r="R4">
        <v>6</v>
      </c>
      <c r="S4">
        <v>2</v>
      </c>
      <c r="T4">
        <v>33.33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8</v>
      </c>
      <c r="AB4">
        <v>4</v>
      </c>
      <c r="AC4">
        <v>50</v>
      </c>
      <c r="AD4">
        <v>30</v>
      </c>
      <c r="AE4">
        <v>14</v>
      </c>
      <c r="AF4">
        <v>46.67</v>
      </c>
      <c r="AG4">
        <v>3</v>
      </c>
    </row>
    <row r="5" spans="1:33" ht="12" customHeight="1" x14ac:dyDescent="0.15">
      <c r="A5" s="6"/>
      <c r="B5" s="5" t="s">
        <v>216</v>
      </c>
      <c r="C5" s="5" t="s">
        <v>215</v>
      </c>
      <c r="D5" s="5" t="s">
        <v>106</v>
      </c>
      <c r="E5" s="5">
        <v>106</v>
      </c>
      <c r="F5" t="s">
        <v>249</v>
      </c>
      <c r="G5" t="s">
        <v>250</v>
      </c>
      <c r="H5">
        <v>2.7</v>
      </c>
      <c r="I5">
        <v>15</v>
      </c>
      <c r="J5">
        <v>7</v>
      </c>
      <c r="K5">
        <v>46.67</v>
      </c>
      <c r="L5">
        <v>30</v>
      </c>
      <c r="M5">
        <v>10</v>
      </c>
      <c r="N5">
        <v>33.33</v>
      </c>
      <c r="O5">
        <v>0</v>
      </c>
      <c r="P5">
        <v>0</v>
      </c>
      <c r="Q5">
        <v>0</v>
      </c>
      <c r="R5">
        <v>4</v>
      </c>
      <c r="S5">
        <v>0</v>
      </c>
      <c r="T5">
        <v>0</v>
      </c>
      <c r="U5">
        <v>3</v>
      </c>
      <c r="V5">
        <v>0</v>
      </c>
      <c r="W5">
        <v>0</v>
      </c>
      <c r="X5">
        <v>1</v>
      </c>
      <c r="Y5">
        <v>0</v>
      </c>
      <c r="Z5">
        <v>0</v>
      </c>
      <c r="AA5">
        <v>12</v>
      </c>
      <c r="AB5">
        <v>4</v>
      </c>
      <c r="AC5">
        <v>33.33</v>
      </c>
      <c r="AD5">
        <v>63</v>
      </c>
      <c r="AE5">
        <v>33</v>
      </c>
      <c r="AF5">
        <v>52.38</v>
      </c>
      <c r="AG5">
        <v>2</v>
      </c>
    </row>
    <row r="6" spans="1:33" ht="12" customHeight="1" x14ac:dyDescent="0.15">
      <c r="A6" s="6" t="s">
        <v>103</v>
      </c>
      <c r="B6" s="5" t="s">
        <v>104</v>
      </c>
      <c r="C6" s="5" t="s">
        <v>105</v>
      </c>
      <c r="D6" s="5" t="s">
        <v>106</v>
      </c>
      <c r="E6" s="5">
        <v>101</v>
      </c>
      <c r="F6" t="s">
        <v>27</v>
      </c>
      <c r="G6" t="s">
        <v>39</v>
      </c>
      <c r="H6">
        <v>1.01</v>
      </c>
      <c r="I6">
        <v>14</v>
      </c>
      <c r="J6">
        <v>7</v>
      </c>
      <c r="K6">
        <v>50</v>
      </c>
      <c r="L6">
        <v>31</v>
      </c>
      <c r="M6">
        <v>8</v>
      </c>
      <c r="N6">
        <v>25.81</v>
      </c>
      <c r="O6">
        <v>0</v>
      </c>
      <c r="P6">
        <v>0</v>
      </c>
      <c r="Q6">
        <v>0</v>
      </c>
      <c r="R6">
        <v>4</v>
      </c>
      <c r="S6">
        <v>2</v>
      </c>
      <c r="T6">
        <v>50</v>
      </c>
      <c r="U6">
        <v>4</v>
      </c>
      <c r="V6">
        <v>0</v>
      </c>
      <c r="W6">
        <v>0</v>
      </c>
      <c r="X6">
        <v>0</v>
      </c>
      <c r="Y6">
        <v>0</v>
      </c>
      <c r="Z6">
        <v>0</v>
      </c>
      <c r="AA6">
        <v>16</v>
      </c>
      <c r="AB6">
        <v>5</v>
      </c>
      <c r="AC6">
        <v>31.25</v>
      </c>
      <c r="AD6">
        <v>38</v>
      </c>
      <c r="AE6">
        <v>13</v>
      </c>
      <c r="AF6">
        <v>34.21</v>
      </c>
      <c r="AG6">
        <v>4</v>
      </c>
    </row>
    <row r="7" spans="1:33" ht="12" customHeight="1" x14ac:dyDescent="0.15">
      <c r="A7" s="6"/>
      <c r="B7" s="5" t="s">
        <v>104</v>
      </c>
      <c r="C7" s="5" t="s">
        <v>105</v>
      </c>
      <c r="D7" s="5" t="s">
        <v>106</v>
      </c>
      <c r="E7" s="5">
        <v>101</v>
      </c>
      <c r="F7" t="s">
        <v>107</v>
      </c>
      <c r="G7" t="s">
        <v>108</v>
      </c>
      <c r="H7">
        <v>0.03</v>
      </c>
      <c r="I7">
        <v>4</v>
      </c>
      <c r="J7">
        <v>2</v>
      </c>
      <c r="K7">
        <v>50</v>
      </c>
      <c r="L7">
        <v>23</v>
      </c>
      <c r="M7">
        <v>3</v>
      </c>
      <c r="N7">
        <v>13.04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2</v>
      </c>
      <c r="V7">
        <v>0</v>
      </c>
      <c r="W7">
        <v>0</v>
      </c>
      <c r="X7">
        <v>0</v>
      </c>
      <c r="Y7">
        <v>0</v>
      </c>
      <c r="Z7">
        <v>0</v>
      </c>
      <c r="AA7">
        <v>13</v>
      </c>
      <c r="AB7">
        <v>2</v>
      </c>
      <c r="AC7">
        <v>15.38</v>
      </c>
      <c r="AD7">
        <v>48</v>
      </c>
      <c r="AE7">
        <v>24</v>
      </c>
      <c r="AF7">
        <v>50</v>
      </c>
      <c r="AG7">
        <v>3</v>
      </c>
    </row>
    <row r="8" spans="1:33" ht="12" customHeight="1" x14ac:dyDescent="0.15"/>
    <row r="9" spans="1:33" ht="12" customHeight="1" x14ac:dyDescent="0.15"/>
    <row r="10" spans="1:33" ht="12" customHeight="1" x14ac:dyDescent="0.15"/>
    <row r="11" spans="1:33" ht="12" customHeight="1" x14ac:dyDescent="0.15"/>
    <row r="12" spans="1:33" ht="12" customHeight="1" x14ac:dyDescent="0.15"/>
    <row r="13" spans="1:33" ht="12" customHeight="1" x14ac:dyDescent="0.15"/>
    <row r="14" spans="1:33" ht="12" customHeight="1" x14ac:dyDescent="0.15"/>
    <row r="15" spans="1:33" ht="12" customHeight="1" x14ac:dyDescent="0.15"/>
    <row r="16" spans="1:33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</sheetData>
  <mergeCells count="10">
    <mergeCell ref="C6:C7"/>
    <mergeCell ref="A6:A7"/>
    <mergeCell ref="B6:B7"/>
    <mergeCell ref="D6:D7"/>
    <mergeCell ref="E6:E7"/>
    <mergeCell ref="B4:B5"/>
    <mergeCell ref="C4:C5"/>
    <mergeCell ref="A4:A5"/>
    <mergeCell ref="E4:E5"/>
    <mergeCell ref="D4:D5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1"/>
  <sheetViews>
    <sheetView showOutlineSymbols="0" showWhiteSpace="0" zoomScale="62" workbookViewId="0">
      <selection sqref="A1:Y1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</row>
    <row r="2" spans="1:25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1.6428571428571428</v>
      </c>
      <c r="I2" s="1">
        <f t="shared" si="0"/>
        <v>11.071428571428571</v>
      </c>
      <c r="J2" s="1">
        <f t="shared" si="0"/>
        <v>4.5</v>
      </c>
      <c r="K2" s="1">
        <f>IFERROR(SUM(J4,J6,J8,J10,J12,J14,J16,J18,J20,J22,J24,J26,J28,J30)/SUM(I4,I6,I8,I10,I12,I14,I16,I18,I20,I22,I24,I26,I28,I30)*100,0)</f>
        <v>40.645161290322577</v>
      </c>
      <c r="L2" s="1">
        <f>AVERAGE(L4,L6,L8,L10,L12,L14,L16,L18,L20,L22,L24,L26,L28,L30)</f>
        <v>70.642857142857139</v>
      </c>
      <c r="M2" s="1">
        <f>AVERAGE(M4,M6,M8,M10,M12,M14,M16,M18,M20,M22,M24,M26,M28,M30)</f>
        <v>47.071428571428569</v>
      </c>
      <c r="N2" s="1">
        <f>IFERROR(SUM(M4,M6,M8,M10,M12,M14,M16,M18,M20,M22,M24,M26,M28,M30)/SUM(L4,L6,L8,L10,L12,L14,L16,L18,L20,L22,L24,L26,L28,L30)*100,0)</f>
        <v>66.632962588473205</v>
      </c>
      <c r="O2" s="1">
        <f>AVERAGE(O4,O6,O8,O10,O12,O14,O16,O18,O20,O22,O24,O26,O28,O30)</f>
        <v>52.5</v>
      </c>
      <c r="P2" s="1">
        <f>AVERAGE(P4,P6,P8,P10,P12,P14,P16,P18,P20,P22,P24,P26,P28,P30)</f>
        <v>24.857142857142858</v>
      </c>
      <c r="Q2" s="1">
        <f>IFERROR(SUM(P4,P6,P8,P10,P12,P14,P16,P18,P20,P22,P24,P26,P28,P30)/SUM(O4,O6,O8,O10,O12,O14,O16,O18,O20,O22,O24,O26,O28,O30)*100,0)</f>
        <v>47.346938775510203</v>
      </c>
      <c r="R2" s="1">
        <f>AVERAGE(R4,R6,R8,R10,R12,R14,R16,R18,R20,R22,R24,R26,R28,R30)</f>
        <v>2.3571428571428572</v>
      </c>
      <c r="S2" s="1">
        <f>AVERAGE(S4,S6,S8,S10,S12,S14,S16,S18,S20,S22,S24,S26,S28,S30)</f>
        <v>1.5</v>
      </c>
      <c r="T2" s="1">
        <f>IFERROR(SUM(S4,S6,S8,S10,S12,S14,S16,S18,S20,S22,S24,S26,S28,S30)/SUM(R4,R6,R8,R10,R12,R14,R16,R18,R20,R22,R24,R26,R28,R30)*100,0)</f>
        <v>63.636363636363633</v>
      </c>
      <c r="U2" s="1">
        <f t="shared" ref="U2:Y3" si="1">AVERAGE(U4,U6,U8,U10,U12,U14,U16,U18,U20,U22,U24,U26,U28,U30)</f>
        <v>39.071428571428569</v>
      </c>
      <c r="V2" s="1">
        <f t="shared" si="1"/>
        <v>17.142857142857142</v>
      </c>
      <c r="W2" s="1">
        <f t="shared" si="1"/>
        <v>12.714285714285714</v>
      </c>
      <c r="X2" s="1">
        <f t="shared" si="1"/>
        <v>1.7142857142857142</v>
      </c>
      <c r="Y2" s="1">
        <f t="shared" si="1"/>
        <v>7.1428571428571425E-2</v>
      </c>
    </row>
    <row r="3" spans="1:25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1.4285714285714286</v>
      </c>
      <c r="I3" s="1">
        <f t="shared" si="0"/>
        <v>9.1428571428571423</v>
      </c>
      <c r="J3" s="1">
        <f t="shared" si="0"/>
        <v>4</v>
      </c>
      <c r="K3" s="1">
        <f>IFERROR(SUM(J5,J7,J9,J11,J13,J15,J17,J19,J21,J23,J25,J27,J29,J31)/SUM(I5,I7,I9,I11,I13,I15,I17,I19,I21,I23,I25,I27,I29,I31)*100,0)</f>
        <v>43.75</v>
      </c>
      <c r="L3" s="1">
        <f>AVERAGE(L5,L7,L9,L11,L13,L15,L17,L19,L21,L23,L25,L27,L29,L31)</f>
        <v>64</v>
      </c>
      <c r="M3" s="1">
        <f>AVERAGE(M5,M7,M9,M11,M13,M15,M17,M19,M21,M23,M25,M27,M29,M31)</f>
        <v>41.571428571428569</v>
      </c>
      <c r="N3" s="1">
        <f>IFERROR(SUM(M5,M7,M9,M11,M13,M15,M17,M19,M21,M23,M25,M27,M29,M31)/SUM(L5,L7,L9,L11,L13,L15,L17,L19,L21,L23,L25,L27,L29,L31)*100,0)</f>
        <v>64.955357142857139</v>
      </c>
      <c r="O3" s="1">
        <f>AVERAGE(O5,O7,O9,O11,O13,O15,O17,O19,O21,O23,O25,O27,O29,O31)</f>
        <v>52.5</v>
      </c>
      <c r="P3" s="1">
        <f>AVERAGE(P5,P7,P9,P11,P13,P15,P17,P19,P21,P23,P25,P27,P29,P31)</f>
        <v>21.857142857142858</v>
      </c>
      <c r="Q3" s="1">
        <f>IFERROR(SUM(P5,P7,P9,P11,P13,P15,P17,P19,P21,P23,P25,P27,P29,P31)/SUM(O5,O7,O9,O11,O13,O15,O17,O19,O21,O23,O25,O27,O29,O31)*100,0)</f>
        <v>41.632653061224488</v>
      </c>
      <c r="R3" s="1">
        <f>AVERAGE(R5,R7,R9,R11,R13,R15,R17,R19,R21,R23,R25,R27,R29,R31)</f>
        <v>3.2142857142857144</v>
      </c>
      <c r="S3" s="1">
        <f>AVERAGE(S5,S7,S9,S11,S13,S15,S17,S19,S21,S23,S25,S27,S29,S31)</f>
        <v>1.7857142857142858</v>
      </c>
      <c r="T3" s="1">
        <f>IFERROR(SUM(S5,S7,S9,S11,S13,S15,S17,S19,S21,S23,S25,S27,S29,S31)/SUM(R5,R7,R9,R11,R13,R15,R17,R19,R21,R23,R25,R27,R29,R31)*100,0)</f>
        <v>55.555555555555557</v>
      </c>
      <c r="U3" s="1">
        <f t="shared" si="1"/>
        <v>40.214285714285715</v>
      </c>
      <c r="V3" s="1">
        <f t="shared" si="1"/>
        <v>19.071428571428573</v>
      </c>
      <c r="W3" s="1">
        <f t="shared" si="1"/>
        <v>11.714285714285714</v>
      </c>
      <c r="X3" s="1">
        <f t="shared" si="1"/>
        <v>2.4285714285714284</v>
      </c>
      <c r="Y3" s="1">
        <f t="shared" si="1"/>
        <v>0.14285714285714285</v>
      </c>
    </row>
    <row r="4" spans="1:25" ht="12" customHeight="1" x14ac:dyDescent="0.15">
      <c r="A4" s="4" t="s">
        <v>29</v>
      </c>
      <c r="B4" s="5" t="s">
        <v>47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4" t="s">
        <v>36</v>
      </c>
      <c r="B6" s="5" t="s">
        <v>53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4" t="s">
        <v>42</v>
      </c>
      <c r="B8" s="5" t="s">
        <v>59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5"/>
      <c r="B9" s="5"/>
      <c r="C9" s="5"/>
      <c r="D9" s="5"/>
      <c r="E9" s="5"/>
      <c r="F9" t="s">
        <v>45</v>
      </c>
      <c r="G9" t="s">
        <v>41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4" t="s">
        <v>46</v>
      </c>
      <c r="B10" s="5" t="s">
        <v>65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4" t="s">
        <v>52</v>
      </c>
      <c r="B12" s="5" t="s">
        <v>70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4" t="s">
        <v>58</v>
      </c>
      <c r="B14" s="5" t="s">
        <v>74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4" t="s">
        <v>64</v>
      </c>
      <c r="B16" s="5" t="s">
        <v>78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4" t="s">
        <v>69</v>
      </c>
      <c r="B18" s="5" t="s">
        <v>81</v>
      </c>
      <c r="C18" s="5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5"/>
      <c r="B19" s="5"/>
      <c r="C19" s="5"/>
      <c r="D19" s="5"/>
      <c r="E19" s="5"/>
      <c r="F19" t="s">
        <v>72</v>
      </c>
      <c r="G19" t="s">
        <v>55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4" t="s">
        <v>73</v>
      </c>
      <c r="B20" s="5" t="s">
        <v>87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  <row r="28" spans="1:25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4</v>
      </c>
      <c r="I28">
        <v>11</v>
      </c>
      <c r="J28">
        <v>6</v>
      </c>
      <c r="K28">
        <v>54.55</v>
      </c>
      <c r="L28">
        <v>60</v>
      </c>
      <c r="M28">
        <v>38</v>
      </c>
      <c r="N28">
        <v>63.33</v>
      </c>
      <c r="O28">
        <v>56</v>
      </c>
      <c r="P28">
        <v>27</v>
      </c>
      <c r="Q28">
        <v>48.21</v>
      </c>
      <c r="R28">
        <v>3</v>
      </c>
      <c r="S28">
        <v>1</v>
      </c>
      <c r="T28">
        <v>33.33</v>
      </c>
      <c r="U28">
        <v>35</v>
      </c>
      <c r="V28">
        <v>11</v>
      </c>
      <c r="W28">
        <v>14</v>
      </c>
      <c r="X28">
        <v>6</v>
      </c>
      <c r="Y28">
        <v>0</v>
      </c>
    </row>
    <row r="29" spans="1:25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0</v>
      </c>
      <c r="I29">
        <v>8</v>
      </c>
      <c r="J29">
        <v>3</v>
      </c>
      <c r="K29">
        <v>37.5</v>
      </c>
      <c r="L29">
        <v>51</v>
      </c>
      <c r="M29">
        <v>28</v>
      </c>
      <c r="N29">
        <v>54.9</v>
      </c>
      <c r="O29">
        <v>56</v>
      </c>
      <c r="P29">
        <v>28</v>
      </c>
      <c r="Q29">
        <v>50</v>
      </c>
      <c r="R29">
        <v>1</v>
      </c>
      <c r="S29">
        <v>1</v>
      </c>
      <c r="T29">
        <v>100</v>
      </c>
      <c r="U29">
        <v>24</v>
      </c>
      <c r="V29">
        <v>15</v>
      </c>
      <c r="W29">
        <v>14</v>
      </c>
      <c r="X29">
        <v>2</v>
      </c>
      <c r="Y29">
        <v>0</v>
      </c>
    </row>
    <row r="30" spans="1:25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3</v>
      </c>
      <c r="I30">
        <v>14</v>
      </c>
      <c r="J30">
        <v>5</v>
      </c>
      <c r="K30">
        <v>35.71</v>
      </c>
      <c r="L30">
        <v>67</v>
      </c>
      <c r="M30">
        <v>39</v>
      </c>
      <c r="N30">
        <v>58.21</v>
      </c>
      <c r="O30">
        <v>54</v>
      </c>
      <c r="P30">
        <v>23</v>
      </c>
      <c r="Q30">
        <v>42.59</v>
      </c>
      <c r="R30">
        <v>3</v>
      </c>
      <c r="S30">
        <v>2</v>
      </c>
      <c r="T30">
        <v>66.67</v>
      </c>
      <c r="U30">
        <v>25</v>
      </c>
      <c r="V30">
        <v>19</v>
      </c>
      <c r="W30">
        <v>15</v>
      </c>
      <c r="X30">
        <v>2</v>
      </c>
      <c r="Y30">
        <v>0</v>
      </c>
    </row>
    <row r="31" spans="1:25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0</v>
      </c>
      <c r="I31">
        <v>9</v>
      </c>
      <c r="J31">
        <v>1</v>
      </c>
      <c r="K31">
        <v>11.11</v>
      </c>
      <c r="L31">
        <v>51</v>
      </c>
      <c r="M31">
        <v>33</v>
      </c>
      <c r="N31">
        <v>64.709999999999994</v>
      </c>
      <c r="O31">
        <v>54</v>
      </c>
      <c r="P31">
        <v>24</v>
      </c>
      <c r="Q31">
        <v>44.44</v>
      </c>
      <c r="R31">
        <v>3</v>
      </c>
      <c r="S31">
        <v>2</v>
      </c>
      <c r="T31">
        <v>66.67</v>
      </c>
      <c r="U31">
        <v>41</v>
      </c>
      <c r="V31">
        <v>22</v>
      </c>
      <c r="W31">
        <v>9</v>
      </c>
      <c r="X31">
        <v>3</v>
      </c>
      <c r="Y31">
        <v>0</v>
      </c>
    </row>
  </sheetData>
  <mergeCells count="70">
    <mergeCell ref="B10:B11"/>
    <mergeCell ref="B28:B29"/>
    <mergeCell ref="A18:A19"/>
    <mergeCell ref="E30:E31"/>
    <mergeCell ref="E14:E15"/>
    <mergeCell ref="E16:E17"/>
    <mergeCell ref="E4:E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C12:C13"/>
    <mergeCell ref="D4:D5"/>
    <mergeCell ref="D16:D17"/>
    <mergeCell ref="E6:E7"/>
    <mergeCell ref="D12:D13"/>
    <mergeCell ref="E8:E9"/>
    <mergeCell ref="A4:A5"/>
    <mergeCell ref="D6:D7"/>
    <mergeCell ref="D8:D9"/>
    <mergeCell ref="A20:A21"/>
    <mergeCell ref="C18:C19"/>
    <mergeCell ref="B20:B21"/>
    <mergeCell ref="A10:A11"/>
    <mergeCell ref="D20:D21"/>
    <mergeCell ref="B4:B5"/>
    <mergeCell ref="C6:C7"/>
    <mergeCell ref="B6:B7"/>
    <mergeCell ref="A14:A15"/>
    <mergeCell ref="A8:A9"/>
    <mergeCell ref="C8:C9"/>
    <mergeCell ref="D18:D19"/>
    <mergeCell ref="C4:C5"/>
    <mergeCell ref="D10:D11"/>
    <mergeCell ref="B22:B23"/>
    <mergeCell ref="E18:E19"/>
    <mergeCell ref="E12:E13"/>
    <mergeCell ref="D26:D27"/>
    <mergeCell ref="E22:E23"/>
    <mergeCell ref="B16:B17"/>
    <mergeCell ref="C24:C25"/>
    <mergeCell ref="B26:B27"/>
    <mergeCell ref="E24:E25"/>
    <mergeCell ref="C14:C15"/>
    <mergeCell ref="B24:B25"/>
    <mergeCell ref="D24:D25"/>
    <mergeCell ref="B12:B13"/>
    <mergeCell ref="B18:B19"/>
    <mergeCell ref="C20:C21"/>
    <mergeCell ref="A30:A31"/>
    <mergeCell ref="D22:D23"/>
    <mergeCell ref="E26:E27"/>
    <mergeCell ref="D14:D15"/>
    <mergeCell ref="B30:B31"/>
    <mergeCell ref="D30:D31"/>
    <mergeCell ref="C28:C29"/>
    <mergeCell ref="D28:D29"/>
    <mergeCell ref="A22:A23"/>
    <mergeCell ref="A28:A29"/>
    <mergeCell ref="C30:C31"/>
    <mergeCell ref="A24:A25"/>
    <mergeCell ref="C26:C27"/>
    <mergeCell ref="C22:C23"/>
    <mergeCell ref="A26:A27"/>
    <mergeCell ref="E28:E29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1"/>
  <sheetViews>
    <sheetView showOutlineSymbols="0" showWhiteSpace="0" zoomScale="60" workbookViewId="0">
      <selection sqref="A1:Y1"/>
    </sheetView>
  </sheetViews>
  <sheetFormatPr baseColWidth="10" defaultColWidth="8.83203125" defaultRowHeight="14" x14ac:dyDescent="0.15"/>
  <cols>
    <col min="1" max="1" width="20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</row>
    <row r="2" spans="1:25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AVERAGE(H4,H6)</f>
        <v>1.5</v>
      </c>
      <c r="I2" s="1">
        <f t="shared" si="0"/>
        <v>9.5</v>
      </c>
      <c r="J2" s="1">
        <f t="shared" si="0"/>
        <v>4.5</v>
      </c>
      <c r="K2" s="1">
        <f>IFERROR(SUM(J4,J6)/SUM(I4,I6)*100,0)</f>
        <v>47.368421052631575</v>
      </c>
      <c r="L2" s="1">
        <f>AVERAGE(L4,L6)</f>
        <v>55.5</v>
      </c>
      <c r="M2" s="1">
        <f>AVERAGE(M4,M6)</f>
        <v>27</v>
      </c>
      <c r="N2" s="1">
        <f>IFERROR(SUM(M4,M6)/SUM(L4,L6)*100,0)</f>
        <v>48.648648648648653</v>
      </c>
      <c r="O2" s="1">
        <f>AVERAGE(O4,O6)</f>
        <v>19.5</v>
      </c>
      <c r="P2" s="1">
        <f>AVERAGE(P4,P6)</f>
        <v>12</v>
      </c>
      <c r="Q2" s="1">
        <f>IFERROR(SUM(P4,P6)/SUM(O4,O6)*100,0)</f>
        <v>61.53846153846154</v>
      </c>
      <c r="R2" s="1">
        <f>AVERAGE(R4,R6)</f>
        <v>2.5</v>
      </c>
      <c r="S2" s="1">
        <f>AVERAGE(S4,S6)</f>
        <v>2.5</v>
      </c>
      <c r="T2" s="1">
        <f>IFERROR(SUM(S4,S6)/SUM(R4,R6)*100,0)</f>
        <v>100</v>
      </c>
      <c r="U2" s="1">
        <f t="shared" ref="U2:Y3" si="1">AVERAGE(U4,U6)</f>
        <v>40</v>
      </c>
      <c r="V2" s="1">
        <f t="shared" si="1"/>
        <v>26.5</v>
      </c>
      <c r="W2" s="1">
        <f t="shared" si="1"/>
        <v>13.5</v>
      </c>
      <c r="X2" s="1">
        <f t="shared" si="1"/>
        <v>3.5</v>
      </c>
      <c r="Y2" s="1">
        <f t="shared" si="1"/>
        <v>0</v>
      </c>
    </row>
    <row r="3" spans="1:25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3.5</v>
      </c>
      <c r="I3" s="1">
        <f t="shared" si="0"/>
        <v>13.5</v>
      </c>
      <c r="J3" s="1">
        <f t="shared" si="0"/>
        <v>8</v>
      </c>
      <c r="K3" s="1">
        <f>IFERROR(SUM(J5,J7)/SUM(I5,I7)*100,0)</f>
        <v>59.259259259259252</v>
      </c>
      <c r="L3" s="1">
        <f>AVERAGE(L5,L7)</f>
        <v>34</v>
      </c>
      <c r="M3" s="1">
        <f>AVERAGE(M5,M7)</f>
        <v>20.5</v>
      </c>
      <c r="N3" s="1">
        <f>IFERROR(SUM(M5,M7)/SUM(L5,L7)*100,0)</f>
        <v>60.294117647058819</v>
      </c>
      <c r="O3" s="1">
        <f>AVERAGE(O5,O7)</f>
        <v>19.5</v>
      </c>
      <c r="P3" s="1">
        <f>AVERAGE(P5,P7)</f>
        <v>7.5</v>
      </c>
      <c r="Q3" s="1">
        <f>IFERROR(SUM(P5,P7)/SUM(O5,O7)*100,0)</f>
        <v>38.461538461538467</v>
      </c>
      <c r="R3" s="1">
        <f>AVERAGE(R5,R7)</f>
        <v>0.5</v>
      </c>
      <c r="S3" s="1">
        <f>AVERAGE(S5,S7)</f>
        <v>0.5</v>
      </c>
      <c r="T3" s="1">
        <f>IFERROR(SUM(S5,S7)/SUM(R5,R7)*100,0)</f>
        <v>100</v>
      </c>
      <c r="U3" s="1">
        <f t="shared" si="1"/>
        <v>43.5</v>
      </c>
      <c r="V3" s="1">
        <f t="shared" si="1"/>
        <v>27.5</v>
      </c>
      <c r="W3" s="1">
        <f t="shared" si="1"/>
        <v>14</v>
      </c>
      <c r="X3" s="1">
        <f t="shared" si="1"/>
        <v>2</v>
      </c>
      <c r="Y3" s="1">
        <f t="shared" si="1"/>
        <v>1</v>
      </c>
    </row>
    <row r="4" spans="1:25" ht="12" customHeight="1" x14ac:dyDescent="0.15">
      <c r="A4" s="6" t="s">
        <v>214</v>
      </c>
      <c r="B4" s="5" t="s">
        <v>216</v>
      </c>
      <c r="C4" s="5" t="s">
        <v>215</v>
      </c>
      <c r="D4" s="5" t="s">
        <v>106</v>
      </c>
      <c r="E4" s="5">
        <v>106</v>
      </c>
      <c r="F4" t="s">
        <v>27</v>
      </c>
      <c r="G4" t="s">
        <v>39</v>
      </c>
      <c r="H4">
        <v>3</v>
      </c>
      <c r="I4">
        <v>15</v>
      </c>
      <c r="J4">
        <v>7</v>
      </c>
      <c r="K4">
        <v>46.67</v>
      </c>
      <c r="L4">
        <v>63</v>
      </c>
      <c r="M4">
        <v>30</v>
      </c>
      <c r="N4">
        <v>47.62</v>
      </c>
      <c r="O4">
        <v>15</v>
      </c>
      <c r="P4">
        <v>8</v>
      </c>
      <c r="Q4">
        <v>53.33</v>
      </c>
      <c r="R4">
        <v>4</v>
      </c>
      <c r="S4">
        <v>4</v>
      </c>
      <c r="T4">
        <v>100</v>
      </c>
      <c r="U4">
        <v>41</v>
      </c>
      <c r="V4">
        <v>30</v>
      </c>
      <c r="W4">
        <v>18</v>
      </c>
      <c r="X4">
        <v>3</v>
      </c>
      <c r="Y4">
        <v>0</v>
      </c>
    </row>
    <row r="5" spans="1:25" ht="12" customHeight="1" x14ac:dyDescent="0.15">
      <c r="A5" s="6"/>
      <c r="B5" s="5" t="s">
        <v>216</v>
      </c>
      <c r="C5" s="5" t="s">
        <v>215</v>
      </c>
      <c r="D5" s="5" t="s">
        <v>106</v>
      </c>
      <c r="E5" s="5">
        <v>106</v>
      </c>
      <c r="F5" t="s">
        <v>249</v>
      </c>
      <c r="G5" t="s">
        <v>250</v>
      </c>
      <c r="H5">
        <v>4</v>
      </c>
      <c r="I5">
        <v>13</v>
      </c>
      <c r="J5">
        <v>8</v>
      </c>
      <c r="K5">
        <v>61.54</v>
      </c>
      <c r="L5">
        <v>30</v>
      </c>
      <c r="M5">
        <v>16</v>
      </c>
      <c r="N5">
        <v>53.33</v>
      </c>
      <c r="O5">
        <v>15</v>
      </c>
      <c r="P5">
        <v>7</v>
      </c>
      <c r="Q5">
        <v>46.67</v>
      </c>
      <c r="R5">
        <v>0</v>
      </c>
      <c r="S5">
        <v>0</v>
      </c>
      <c r="T5">
        <v>0</v>
      </c>
      <c r="U5">
        <v>40</v>
      </c>
      <c r="V5">
        <v>35</v>
      </c>
      <c r="W5">
        <v>15</v>
      </c>
      <c r="X5">
        <v>2</v>
      </c>
      <c r="Y5">
        <v>1</v>
      </c>
    </row>
    <row r="6" spans="1:25" ht="12" customHeight="1" x14ac:dyDescent="0.15">
      <c r="A6" s="6" t="s">
        <v>103</v>
      </c>
      <c r="B6" s="5" t="s">
        <v>104</v>
      </c>
      <c r="C6" s="5" t="s">
        <v>105</v>
      </c>
      <c r="D6" s="5" t="s">
        <v>106</v>
      </c>
      <c r="E6" s="5">
        <v>101</v>
      </c>
      <c r="F6" t="s">
        <v>27</v>
      </c>
      <c r="G6" t="s">
        <v>39</v>
      </c>
      <c r="H6">
        <v>0</v>
      </c>
      <c r="I6">
        <v>4</v>
      </c>
      <c r="J6">
        <v>2</v>
      </c>
      <c r="K6">
        <v>50</v>
      </c>
      <c r="L6">
        <v>48</v>
      </c>
      <c r="M6">
        <v>24</v>
      </c>
      <c r="N6">
        <v>50</v>
      </c>
      <c r="O6">
        <v>24</v>
      </c>
      <c r="P6">
        <v>16</v>
      </c>
      <c r="Q6">
        <v>66.67</v>
      </c>
      <c r="R6">
        <v>1</v>
      </c>
      <c r="S6">
        <v>1</v>
      </c>
      <c r="T6">
        <v>100</v>
      </c>
      <c r="U6">
        <v>39</v>
      </c>
      <c r="V6">
        <v>23</v>
      </c>
      <c r="W6">
        <v>9</v>
      </c>
      <c r="X6">
        <v>4</v>
      </c>
      <c r="Y6">
        <v>0</v>
      </c>
    </row>
    <row r="7" spans="1:25" ht="12" customHeight="1" x14ac:dyDescent="0.15">
      <c r="A7" s="6"/>
      <c r="B7" s="5" t="s">
        <v>104</v>
      </c>
      <c r="C7" s="5" t="s">
        <v>105</v>
      </c>
      <c r="D7" s="5" t="s">
        <v>106</v>
      </c>
      <c r="E7" s="5">
        <v>101</v>
      </c>
      <c r="F7" t="s">
        <v>107</v>
      </c>
      <c r="G7" t="s">
        <v>108</v>
      </c>
      <c r="H7">
        <v>3</v>
      </c>
      <c r="I7">
        <v>14</v>
      </c>
      <c r="J7">
        <v>8</v>
      </c>
      <c r="K7">
        <v>57.14</v>
      </c>
      <c r="L7">
        <v>38</v>
      </c>
      <c r="M7">
        <v>25</v>
      </c>
      <c r="N7">
        <v>65.790000000000006</v>
      </c>
      <c r="O7">
        <v>24</v>
      </c>
      <c r="P7">
        <v>8</v>
      </c>
      <c r="Q7">
        <v>33.33</v>
      </c>
      <c r="R7">
        <v>1</v>
      </c>
      <c r="S7">
        <v>1</v>
      </c>
      <c r="T7">
        <v>100</v>
      </c>
      <c r="U7">
        <v>47</v>
      </c>
      <c r="V7">
        <v>20</v>
      </c>
      <c r="W7">
        <v>13</v>
      </c>
      <c r="X7">
        <v>2</v>
      </c>
      <c r="Y7">
        <v>1</v>
      </c>
    </row>
    <row r="8" spans="1:25" ht="12" customHeight="1" x14ac:dyDescent="0.15">
      <c r="A8" s="4"/>
      <c r="B8" s="5"/>
      <c r="C8" s="5"/>
      <c r="D8" s="5"/>
      <c r="E8" s="5"/>
    </row>
    <row r="9" spans="1:25" ht="12" customHeight="1" x14ac:dyDescent="0.15">
      <c r="A9" s="5"/>
      <c r="B9" s="5"/>
      <c r="C9" s="5"/>
      <c r="D9" s="5"/>
      <c r="E9" s="5"/>
    </row>
    <row r="10" spans="1:25" ht="12" customHeight="1" x14ac:dyDescent="0.15">
      <c r="A10" s="4"/>
      <c r="B10" s="5"/>
      <c r="C10" s="5"/>
      <c r="D10" s="5"/>
      <c r="E10" s="5"/>
    </row>
    <row r="11" spans="1:25" ht="12" customHeight="1" x14ac:dyDescent="0.15">
      <c r="A11" s="5"/>
      <c r="B11" s="5"/>
      <c r="C11" s="5"/>
      <c r="D11" s="5"/>
      <c r="E11" s="5"/>
    </row>
    <row r="12" spans="1:25" ht="12" customHeight="1" x14ac:dyDescent="0.15">
      <c r="A12" s="4"/>
      <c r="B12" s="5"/>
      <c r="C12" s="5"/>
      <c r="D12" s="5"/>
      <c r="E12" s="5"/>
    </row>
    <row r="13" spans="1:25" ht="12" customHeight="1" x14ac:dyDescent="0.15">
      <c r="A13" s="5"/>
      <c r="B13" s="5"/>
      <c r="C13" s="5"/>
      <c r="D13" s="5"/>
      <c r="E13" s="5"/>
    </row>
    <row r="14" spans="1:25" ht="12" customHeight="1" x14ac:dyDescent="0.15">
      <c r="A14" s="4"/>
      <c r="B14" s="5"/>
      <c r="C14" s="5"/>
      <c r="D14" s="5"/>
      <c r="E14" s="5"/>
    </row>
    <row r="15" spans="1:25" ht="12" customHeight="1" x14ac:dyDescent="0.15">
      <c r="A15" s="5"/>
      <c r="B15" s="5"/>
      <c r="C15" s="5"/>
      <c r="D15" s="5"/>
      <c r="E15" s="5"/>
    </row>
    <row r="16" spans="1:25" ht="12" customHeight="1" x14ac:dyDescent="0.15">
      <c r="A16" s="4"/>
      <c r="B16" s="5"/>
      <c r="C16" s="5"/>
      <c r="D16" s="5"/>
      <c r="E16" s="5"/>
    </row>
    <row r="17" spans="1:5" ht="12" customHeight="1" x14ac:dyDescent="0.15">
      <c r="A17" s="5"/>
      <c r="B17" s="5"/>
      <c r="C17" s="5"/>
      <c r="D17" s="5"/>
      <c r="E17" s="5"/>
    </row>
    <row r="18" spans="1:5" ht="12" customHeight="1" x14ac:dyDescent="0.15">
      <c r="A18" s="4"/>
      <c r="B18" s="5"/>
      <c r="C18" s="5"/>
      <c r="D18" s="5"/>
      <c r="E18" s="5"/>
    </row>
    <row r="19" spans="1:5" ht="12" customHeight="1" x14ac:dyDescent="0.15">
      <c r="A19" s="5"/>
      <c r="B19" s="5"/>
      <c r="C19" s="5"/>
      <c r="D19" s="5"/>
      <c r="E19" s="5"/>
    </row>
    <row r="20" spans="1:5" ht="12" customHeight="1" x14ac:dyDescent="0.15">
      <c r="A20" s="4"/>
      <c r="B20" s="5"/>
      <c r="C20" s="5"/>
      <c r="D20" s="5"/>
      <c r="E20" s="5"/>
    </row>
    <row r="21" spans="1:5" ht="12" customHeight="1" x14ac:dyDescent="0.15">
      <c r="A21" s="5"/>
      <c r="B21" s="5"/>
      <c r="C21" s="5"/>
      <c r="D21" s="5"/>
      <c r="E21" s="5"/>
    </row>
    <row r="22" spans="1:5" x14ac:dyDescent="0.15">
      <c r="A22" s="4"/>
      <c r="B22" s="5"/>
      <c r="C22" s="5"/>
      <c r="D22" s="5"/>
      <c r="E22" s="5"/>
    </row>
    <row r="23" spans="1:5" x14ac:dyDescent="0.15">
      <c r="A23" s="5"/>
      <c r="B23" s="5"/>
      <c r="C23" s="5"/>
      <c r="D23" s="5"/>
      <c r="E23" s="5"/>
    </row>
    <row r="24" spans="1:5" x14ac:dyDescent="0.15">
      <c r="A24" s="4"/>
      <c r="B24" s="5"/>
      <c r="C24" s="5"/>
      <c r="D24" s="5"/>
      <c r="E24" s="5"/>
    </row>
    <row r="25" spans="1:5" x14ac:dyDescent="0.15">
      <c r="A25" s="5"/>
      <c r="B25" s="5"/>
      <c r="C25" s="5"/>
      <c r="D25" s="5"/>
      <c r="E25" s="5"/>
    </row>
    <row r="26" spans="1:5" x14ac:dyDescent="0.15">
      <c r="A26" s="4"/>
      <c r="B26" s="5"/>
      <c r="C26" s="5"/>
      <c r="D26" s="5"/>
      <c r="E26" s="5"/>
    </row>
    <row r="27" spans="1:5" x14ac:dyDescent="0.15">
      <c r="A27" s="5"/>
      <c r="B27" s="5"/>
      <c r="C27" s="5"/>
      <c r="D27" s="5"/>
      <c r="E27" s="5"/>
    </row>
    <row r="28" spans="1:5" x14ac:dyDescent="0.15">
      <c r="A28" s="4"/>
      <c r="B28" s="5"/>
      <c r="C28" s="5"/>
      <c r="D28" s="5"/>
      <c r="E28" s="5"/>
    </row>
    <row r="29" spans="1:5" x14ac:dyDescent="0.15">
      <c r="A29" s="5"/>
      <c r="B29" s="5"/>
      <c r="C29" s="5"/>
      <c r="D29" s="5"/>
      <c r="E29" s="5"/>
    </row>
    <row r="30" spans="1:5" x14ac:dyDescent="0.15">
      <c r="A30" s="4"/>
      <c r="B30" s="5"/>
      <c r="C30" s="5"/>
      <c r="D30" s="5"/>
      <c r="E30" s="5"/>
    </row>
    <row r="31" spans="1:5" x14ac:dyDescent="0.15">
      <c r="A31" s="5"/>
      <c r="B31" s="5"/>
      <c r="C31" s="5"/>
      <c r="D31" s="5"/>
      <c r="E31" s="5"/>
    </row>
  </sheetData>
  <mergeCells count="70">
    <mergeCell ref="C30:C31"/>
    <mergeCell ref="A24:A25"/>
    <mergeCell ref="E8:E9"/>
    <mergeCell ref="B12:B13"/>
    <mergeCell ref="B18:B19"/>
    <mergeCell ref="C20:C21"/>
    <mergeCell ref="A16:A17"/>
    <mergeCell ref="E28:E29"/>
    <mergeCell ref="B28:B29"/>
    <mergeCell ref="D28:D29"/>
    <mergeCell ref="D24:D25"/>
    <mergeCell ref="E30:E31"/>
    <mergeCell ref="A8:A9"/>
    <mergeCell ref="A22:A23"/>
    <mergeCell ref="E26:E27"/>
    <mergeCell ref="B30:B31"/>
    <mergeCell ref="B8:B9"/>
    <mergeCell ref="C10:C11"/>
    <mergeCell ref="C16:C17"/>
    <mergeCell ref="D4:D5"/>
    <mergeCell ref="B6:B7"/>
    <mergeCell ref="C8:C9"/>
    <mergeCell ref="A6:A7"/>
    <mergeCell ref="E10:E11"/>
    <mergeCell ref="C26:C27"/>
    <mergeCell ref="B14:B15"/>
    <mergeCell ref="C22:C23"/>
    <mergeCell ref="B26:B27"/>
    <mergeCell ref="A12:A13"/>
    <mergeCell ref="A26:A27"/>
    <mergeCell ref="C12:C13"/>
    <mergeCell ref="D16:D17"/>
    <mergeCell ref="E6:E7"/>
    <mergeCell ref="D12:D13"/>
    <mergeCell ref="B10:B11"/>
    <mergeCell ref="A18:A19"/>
    <mergeCell ref="B24:B25"/>
    <mergeCell ref="A14:A15"/>
    <mergeCell ref="A20:A21"/>
    <mergeCell ref="C18:C19"/>
    <mergeCell ref="B20:B21"/>
    <mergeCell ref="A10:A11"/>
    <mergeCell ref="D20:D21"/>
    <mergeCell ref="D14:D15"/>
    <mergeCell ref="D18:D19"/>
    <mergeCell ref="A30:A31"/>
    <mergeCell ref="E14:E15"/>
    <mergeCell ref="D30:D31"/>
    <mergeCell ref="D10:D11"/>
    <mergeCell ref="B4:B5"/>
    <mergeCell ref="A28:A29"/>
    <mergeCell ref="D26:D27"/>
    <mergeCell ref="B22:B23"/>
    <mergeCell ref="C28:C29"/>
    <mergeCell ref="B16:B17"/>
    <mergeCell ref="C6:C7"/>
    <mergeCell ref="C24:C25"/>
    <mergeCell ref="D6:D7"/>
    <mergeCell ref="A4:A5"/>
    <mergeCell ref="D8:D9"/>
    <mergeCell ref="E24:E25"/>
    <mergeCell ref="C14:C15"/>
    <mergeCell ref="C4:C5"/>
    <mergeCell ref="E4:E5"/>
    <mergeCell ref="E20:E21"/>
    <mergeCell ref="D22:D23"/>
    <mergeCell ref="E16:E17"/>
    <mergeCell ref="E18:E19"/>
    <mergeCell ref="E22:E23"/>
    <mergeCell ref="E12:E13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"/>
  <sheetViews>
    <sheetView showOutlineSymbols="0" showWhiteSpace="0" zoomScale="63" workbookViewId="0">
      <selection sqref="A1:AI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</row>
    <row r="2" spans="1:35" x14ac:dyDescent="0.15">
      <c r="A2" s="1" t="s">
        <v>27</v>
      </c>
      <c r="B2" s="1"/>
      <c r="C2" s="1"/>
      <c r="D2" s="1"/>
      <c r="E2" s="1"/>
      <c r="F2" s="1"/>
      <c r="G2" s="1"/>
      <c r="H2" s="1">
        <f>AVERAGE(H4,H6,H8,H10,H12,H14,H16,H18,H20,H22,H24,H26,H28,H30)</f>
        <v>382.71428571428572</v>
      </c>
      <c r="I2" s="1">
        <f>AVERAGE(I4,I6,I8,I10,I12,I14,I16,I18,I20,I22,I24,I26,I28,I30)</f>
        <v>294.71428571428572</v>
      </c>
      <c r="J2" s="1">
        <f>IFERROR(SUM(I4,I6,I8,I10,I12,I14,I16,I18,I20,I22,I24,I26,I28,I30)/SUM(H4,H6,H8,H10,H12,H14,H16,H18,H20,H22,H24,H26,H28,H30)*100,0)</f>
        <v>77.006345651362452</v>
      </c>
      <c r="K2" s="1">
        <f>AVERAGE(K4,K6,K8,K10,K12,K14,K16,K18,K20,K22,K24,K26,K28,K30)</f>
        <v>151.85714285714286</v>
      </c>
      <c r="L2" s="1">
        <f>AVERAGE(L4,L6,L8,L10,L12,L14,L16,L18,L20,L22,L24,L26,L28,L30)</f>
        <v>103.14285714285714</v>
      </c>
      <c r="M2" s="1">
        <f>IFERROR(SUM(L4,L6,L8,L10,L12,L14,L16,L18,L20,L22,L24,L26,L28,L30)/SUM(K4,K6,K8,K10,K12,K14,K16,K18,K20,K22,K24,K26,K28,K30)*100,0)</f>
        <v>67.92097836312324</v>
      </c>
      <c r="N2" s="1">
        <f>AVERAGE(N4,N6,N8,N10,N12,N14,N16,N18,N20,N22,N24,N26,N28,N30)</f>
        <v>49.071428571428569</v>
      </c>
      <c r="O2" s="1">
        <f>AVERAGE(O4,O6,O8,O10,O12,O14,O16,O18,O20,O22,O24,O26,O28,O30)</f>
        <v>45.357142857142854</v>
      </c>
      <c r="P2" s="1">
        <f>IFERROR(SUM(O4,O6,O8,O10,O12,O14,O16,O18,O20,O22,O24,O26,O28,O30)/SUM(N4,N6,N8,N10,N12,N14,N16,N18,N20,N22,N24,N26,N28,N30)*100,0)</f>
        <v>92.430858806404657</v>
      </c>
      <c r="Q2" s="1">
        <f>AVERAGE(Q4,Q6,Q8,Q10,Q12,Q14,Q16,Q18,Q20,Q22,Q24,Q26,Q28,Q30)</f>
        <v>124.64285714285714</v>
      </c>
      <c r="R2" s="1">
        <f>AVERAGE(R4,R6,R8,R10,R12,R14,R16,R18,R20,R22,R24,R26,R28,R30)</f>
        <v>102.85714285714286</v>
      </c>
      <c r="S2" s="1">
        <f>IFERROR(SUM(R4,R6,R8,R10,R12,R14,R16,R18,R20,R22,R24,R26,R28,R30)/SUM(Q4,Q6,Q8,Q10,Q12,Q14,Q16,Q18,Q20,Q22,Q24,Q26,Q28,Q30)*100,0)</f>
        <v>82.52148997134671</v>
      </c>
      <c r="T2" s="1">
        <f>AVERAGE(T4,T6,T8,T10,T12,T14,T16,T18,T20,T22,T24,T26,T28,T30)</f>
        <v>54.857142857142854</v>
      </c>
      <c r="U2" s="1">
        <f>AVERAGE(U4,U6,U8,U10,U12,U14,U16,U18,U20,U22,U24,U26,U28,U30)</f>
        <v>27.714285714285715</v>
      </c>
      <c r="V2" s="1">
        <f>IFERROR(SUM(U4,U6,U8,U10,U12,U14,U16,U18,U20,U22,U24,U26,U28,U30)/SUM(T4,T6,T8,T10,T12,T14,T16,T18,T20,T22,T24,T26,T28,T30)*100,0)</f>
        <v>50.520833333333336</v>
      </c>
      <c r="W2" s="1">
        <f>AVERAGE(W4,W6,W8,W10,W12,W14,W16,W18,W20,W22,W24,W26,W28,W30)</f>
        <v>50.428571428571431</v>
      </c>
      <c r="X2" s="1">
        <f>AVERAGE(X4,X6,X8,X10,X12,X14,X16,X18,X20,X22,X24,X26,X28,X30)</f>
        <v>28.214285714285715</v>
      </c>
      <c r="Y2" s="1">
        <f>IFERROR(SUM(X4,X6,X8,X10,X12,X14,X16,X18,X20,X22,X24,X26,X28,X30)/SUM(W4,W6,W8,W10,W12,W14,W16,W18,W20,W22,W24,W26,W28,W30)*100,0)</f>
        <v>55.949008498583574</v>
      </c>
      <c r="Z2" s="1">
        <f>AVERAGE(Z4,Z6,Z8,Z10,Z12,Z14,Z16,Z18,Z20,Z22,Z24,Z26,Z28,Z30)</f>
        <v>73.571428571428569</v>
      </c>
      <c r="AA2" s="1">
        <f>AVERAGE(AA4,AA6,AA8,AA10,AA12,AA14,AA16,AA18,AA20,AA22,AA24,AA26,AA28,AA30)</f>
        <v>51.357142857142854</v>
      </c>
      <c r="AB2" s="1">
        <f>IFERROR(SUM(AA4,AA6,AA8,AA10,AA12,AA14,AA16,AA18,AA20,AA22,AA24,AA26,AA28,AA30)/SUM(Z4,Z6,Z8,Z10,Z12,Z14,Z16,Z18,Z20,Z22,Z24,Z26,Z28,Z30)*100,0)</f>
        <v>69.805825242718441</v>
      </c>
      <c r="AC2" s="1">
        <f>AVERAGE(AC4,AC6,AC8,AC10,AC12,AC14,AC16,AC18,AC20,AC22,AC24,AC26,AC28,AC30)</f>
        <v>0.5714285714285714</v>
      </c>
      <c r="AD2" s="1">
        <f>AVERAGE(AD4,AD6,AD8,AD10,AD12,AD14,AD16,AD18,AD20,AD22,AD24,AD26,AD28,AD30)</f>
        <v>0.14285714285714285</v>
      </c>
      <c r="AE2" s="1">
        <f>IFERROR(SUM(AD4,AD6,AD8,AD10,AD12,AD14,AD16,AD18,AD20,AD22,AD24,AD26,AD28,AD30)/SUM(AC4,AC6,AC8,AC10,AC12,AC14,AC16,AC18,AC20,AC22,AC24,AC26,AC28,AC30)*100,0)</f>
        <v>25</v>
      </c>
      <c r="AF2" s="1">
        <f>AVERAGE(AF4,AF6,AF8,AF10,AF12,AF14,AF16,AF18,AF20,AF22,AF24,AF26,AF28,AF30)</f>
        <v>24.642857142857142</v>
      </c>
      <c r="AG2" s="1">
        <f>AVERAGE(AG4,AG6,AG8,AG10,AG12,AG14,AG16,AG18,AG20,AG22,AG24,AG26,AG28,AG30)</f>
        <v>21.5</v>
      </c>
      <c r="AH2" s="1">
        <f>IFERROR(SUM(AG4,AG6,AG8,AG10,AG12,AG14,AG16,AG18,AG20,AG22,AG24,AG26,AG28,AG30)/SUM(AF4,AF6,AF8,AF10,AF12,AF14,AF16,AF18,AF20,AF22,AF24,AF26,AF28,AF30)*100,0)</f>
        <v>87.246376811594203</v>
      </c>
      <c r="AI2" s="1">
        <f>AVERAGE(AI4,AI6,AI8,AI10,AI12,AI14,AI16,AI18,AI20,AI22,AI24,AI26,AI28,AI30)</f>
        <v>8</v>
      </c>
    </row>
    <row r="3" spans="1:35" x14ac:dyDescent="0.15">
      <c r="A3" s="1" t="s">
        <v>28</v>
      </c>
      <c r="B3" s="1"/>
      <c r="C3" s="1"/>
      <c r="D3" s="1"/>
      <c r="E3" s="1"/>
      <c r="F3" s="1"/>
      <c r="G3" s="1"/>
      <c r="H3" s="1">
        <f>AVERAGE(H5,H7,H9,H11,H13,H15,H17,H19,H21,H23,H25,H27,H29,H31)</f>
        <v>383.92857142857144</v>
      </c>
      <c r="I3" s="1">
        <f>AVERAGE(I5,I7,I9,I11,I13,I15,I17,I19,I21,I23,I25,I27,I29,I31)</f>
        <v>298.92857142857144</v>
      </c>
      <c r="J3" s="1">
        <f>IFERROR(SUM(I5,I7,I9,I11,I13,I15,I17,I19,I21,I23,I25,I27,I29,I31)/SUM(H5,H7,H9,H11,H13,H15,H17,H19,H21,H23,H25,H27,H29,H31)*100,0)</f>
        <v>77.860465116279059</v>
      </c>
      <c r="K3" s="1">
        <f>AVERAGE(K5,K7,K9,K11,K13,K15,K17,K19,K21,K23,K25,K27,K29,K31)</f>
        <v>146.57142857142858</v>
      </c>
      <c r="L3" s="1">
        <f>AVERAGE(L5,L7,L9,L11,L13,L15,L17,L19,L21,L23,L25,L27,L29,L31)</f>
        <v>98.071428571428569</v>
      </c>
      <c r="M3" s="1">
        <f>IFERROR(SUM(L5,L7,L9,L11,L13,L15,L17,L19,L21,L23,L25,L27,L29,L31)/SUM(K5,K7,K9,K11,K13,K15,K17,K19,K21,K23,K25,K27,K29,K31)*100,0)</f>
        <v>66.910331384015592</v>
      </c>
      <c r="N3" s="1">
        <f>AVERAGE(N5,N7,N9,N11,N13,N15,N17,N19,N21,N23,N25,N27,N29,N31)</f>
        <v>50.214285714285715</v>
      </c>
      <c r="O3" s="1">
        <f>AVERAGE(O5,O7,O9,O11,O13,O15,O17,O19,O21,O23,O25,O27,O29,O31)</f>
        <v>45.642857142857146</v>
      </c>
      <c r="P3" s="1">
        <f>IFERROR(SUM(O5,O7,O9,O11,O13,O15,O17,O19,O21,O23,O25,O27,O29,O31)/SUM(N5,N7,N9,N11,N13,N15,N17,N19,N21,N23,N25,N27,N29,N31)*100,0)</f>
        <v>90.896159317211939</v>
      </c>
      <c r="Q3" s="1">
        <f>AVERAGE(Q5,Q7,Q9,Q11,Q13,Q15,Q17,Q19,Q21,Q23,Q25,Q27,Q29,Q31)</f>
        <v>133.28571428571428</v>
      </c>
      <c r="R3" s="1">
        <f>AVERAGE(R5,R7,R9,R11,R13,R15,R17,R19,R21,R23,R25,R27,R29,R31)</f>
        <v>114.21428571428571</v>
      </c>
      <c r="S3" s="1">
        <f>IFERROR(SUM(R5,R7,R9,R11,R13,R15,R17,R19,R21,R23,R25,R27,R29,R31)/SUM(Q5,Q7,Q9,Q11,Q13,Q15,Q17,Q19,Q21,Q23,Q25,Q27,Q29,Q31)*100,0)</f>
        <v>85.691318327974273</v>
      </c>
      <c r="T3" s="1">
        <f>AVERAGE(T5,T7,T9,T11,T13,T15,T17,T19,T21,T23,T25,T27,T29,T31)</f>
        <v>55.285714285714285</v>
      </c>
      <c r="U3" s="1">
        <f>AVERAGE(U5,U7,U9,U11,U13,U15,U17,U19,U21,U23,U25,U27,U29,U31)</f>
        <v>27.857142857142858</v>
      </c>
      <c r="V3" s="1">
        <f>IFERROR(SUM(U5,U7,U9,U11,U13,U15,U17,U19,U21,U23,U25,U27,U29,U31)/SUM(T5,T7,T9,T11,T13,T15,T17,T19,T21,T23,T25,T27,T29,T31)*100,0)</f>
        <v>50.387596899224803</v>
      </c>
      <c r="W3" s="1">
        <f>AVERAGE(W5,W7,W9,W11,W13,W15,W17,W19,W21,W23,W25,W27,W29,W31)</f>
        <v>55.785714285714285</v>
      </c>
      <c r="X3" s="1">
        <f>AVERAGE(X5,X7,X9,X11,X13,X15,X17,X19,X21,X23,X25,X27,X29,X31)</f>
        <v>32.214285714285715</v>
      </c>
      <c r="Y3" s="1">
        <f>IFERROR(SUM(X5,X7,X9,X11,X13,X15,X17,X19,X21,X23,X25,X27,X29,X31)/SUM(W5,W7,W9,W11,W13,W15,W17,W19,W21,W23,W25,W27,W29,W31)*100,0)</f>
        <v>57.74647887323944</v>
      </c>
      <c r="Z3" s="1">
        <f>AVERAGE(Z5,Z7,Z9,Z11,Z13,Z15,Z17,Z19,Z21,Z23,Z25,Z27,Z29,Z31)</f>
        <v>75.142857142857139</v>
      </c>
      <c r="AA3" s="1">
        <f>AVERAGE(AA5,AA7,AA9,AA11,AA13,AA15,AA17,AA19,AA21,AA23,AA25,AA27,AA29,AA31)</f>
        <v>51.571428571428569</v>
      </c>
      <c r="AB3" s="1">
        <f>IFERROR(SUM(AA5,AA7,AA9,AA11,AA13,AA15,AA17,AA19,AA21,AA23,AA25,AA27,AA29,AA31)/SUM(Z5,Z7,Z9,Z11,Z13,Z15,Z17,Z19,Z21,Z23,Z25,Z27,Z29,Z31)*100,0)</f>
        <v>68.631178707224336</v>
      </c>
      <c r="AC3" s="1">
        <f>AVERAGE(AC5,AC7,AC9,AC11,AC13,AC15,AC17,AC19,AC21,AC23,AC25,AC27,AC29,AC31)</f>
        <v>1.0714285714285714</v>
      </c>
      <c r="AD3" s="1">
        <f>AVERAGE(AD5,AD7,AD9,AD11,AD13,AD15,AD17,AD19,AD21,AD23,AD25,AD27,AD29,AD31)</f>
        <v>0.42857142857142855</v>
      </c>
      <c r="AE3" s="1">
        <f>IFERROR(SUM(AD5,AD7,AD9,AD11,AD13,AD15,AD17,AD19,AD21,AD23,AD25,AD27,AD29,AD31)/SUM(AC5,AC7,AC9,AC11,AC13,AC15,AC17,AC19,AC21,AC23,AC25,AC27,AC29,AC31)*100,0)</f>
        <v>40</v>
      </c>
      <c r="AF3" s="1">
        <f>AVERAGE(AF5,AF7,AF9,AF11,AF13,AF15,AF17,AF19,AF21,AF23,AF25,AF27,AF29,AF31)</f>
        <v>25.714285714285715</v>
      </c>
      <c r="AG3" s="1">
        <f>AVERAGE(AG5,AG7,AG9,AG11,AG13,AG15,AG17,AG19,AG21,AG23,AG25,AG27,AG29,AG31)</f>
        <v>22.357142857142858</v>
      </c>
      <c r="AH3" s="1">
        <f>IFERROR(SUM(AG5,AG7,AG9,AG11,AG13,AG15,AG17,AG19,AG21,AG23,AG25,AG27,AG29,AG31)/SUM(AF5,AF7,AF9,AF11,AF13,AF15,AF17,AF19,AF21,AF23,AF25,AF27,AF29,AF31)*100,0)</f>
        <v>86.944444444444443</v>
      </c>
      <c r="AI3" s="1">
        <f>AVERAGE(AI5,AI7,AI9,AI11,AI13,AI15,AI17,AI19,AI21,AI23,AI25,AI27,AI29,AI31)</f>
        <v>6.5</v>
      </c>
    </row>
    <row r="4" spans="1:35" ht="12" customHeight="1" x14ac:dyDescent="0.15">
      <c r="A4" s="4" t="s">
        <v>29</v>
      </c>
      <c r="B4" s="5" t="s">
        <v>47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4" t="s">
        <v>36</v>
      </c>
      <c r="B6" s="5" t="s">
        <v>53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4" t="s">
        <v>42</v>
      </c>
      <c r="B8" s="5" t="s">
        <v>59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5"/>
      <c r="B9" s="5"/>
      <c r="C9" s="5"/>
      <c r="D9" s="5"/>
      <c r="E9" s="5"/>
      <c r="F9" t="s">
        <v>45</v>
      </c>
      <c r="G9" t="s">
        <v>41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4" t="s">
        <v>46</v>
      </c>
      <c r="B10" s="5" t="s">
        <v>65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4" t="s">
        <v>52</v>
      </c>
      <c r="B12" s="5" t="s">
        <v>70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4" t="s">
        <v>58</v>
      </c>
      <c r="B14" s="5" t="s">
        <v>74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4" t="s">
        <v>64</v>
      </c>
      <c r="B16" s="5" t="s">
        <v>78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4" t="s">
        <v>69</v>
      </c>
      <c r="B18" s="5" t="s">
        <v>81</v>
      </c>
      <c r="C18" s="5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5"/>
      <c r="B19" s="5"/>
      <c r="C19" s="5"/>
      <c r="D19" s="5"/>
      <c r="E19" s="5"/>
      <c r="F19" t="s">
        <v>72</v>
      </c>
      <c r="G19" t="s">
        <v>55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4" t="s">
        <v>73</v>
      </c>
      <c r="B20" s="5" t="s">
        <v>87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  <row r="28" spans="1:35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479</v>
      </c>
      <c r="I28">
        <v>398</v>
      </c>
      <c r="J28">
        <v>83.09</v>
      </c>
      <c r="K28">
        <v>173</v>
      </c>
      <c r="L28">
        <v>133</v>
      </c>
      <c r="M28">
        <v>76.88</v>
      </c>
      <c r="N28">
        <v>79</v>
      </c>
      <c r="O28">
        <v>75</v>
      </c>
      <c r="P28">
        <v>94.94</v>
      </c>
      <c r="Q28">
        <v>132</v>
      </c>
      <c r="R28">
        <v>108</v>
      </c>
      <c r="S28">
        <v>81.819999999999993</v>
      </c>
      <c r="T28">
        <v>62</v>
      </c>
      <c r="U28">
        <v>37</v>
      </c>
      <c r="V28">
        <v>59.68</v>
      </c>
      <c r="W28">
        <v>51</v>
      </c>
      <c r="X28">
        <v>28</v>
      </c>
      <c r="Y28">
        <v>54.9</v>
      </c>
      <c r="Z28">
        <v>70</v>
      </c>
      <c r="AA28">
        <v>54</v>
      </c>
      <c r="AB28">
        <v>77.14</v>
      </c>
      <c r="AC28">
        <v>1</v>
      </c>
      <c r="AD28">
        <v>0</v>
      </c>
      <c r="AE28">
        <v>0</v>
      </c>
      <c r="AF28">
        <v>23</v>
      </c>
      <c r="AG28">
        <v>21</v>
      </c>
      <c r="AH28">
        <v>91.3</v>
      </c>
      <c r="AI28">
        <v>6</v>
      </c>
    </row>
    <row r="29" spans="1:35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302</v>
      </c>
      <c r="I29">
        <v>224</v>
      </c>
      <c r="J29">
        <v>74.17</v>
      </c>
      <c r="K29">
        <v>120</v>
      </c>
      <c r="L29">
        <v>76</v>
      </c>
      <c r="M29">
        <v>63.33</v>
      </c>
      <c r="N29">
        <v>39</v>
      </c>
      <c r="O29">
        <v>35</v>
      </c>
      <c r="P29">
        <v>89.74</v>
      </c>
      <c r="Q29">
        <v>103</v>
      </c>
      <c r="R29">
        <v>86</v>
      </c>
      <c r="S29">
        <v>83.5</v>
      </c>
      <c r="T29">
        <v>51</v>
      </c>
      <c r="U29">
        <v>31</v>
      </c>
      <c r="V29">
        <v>60.78</v>
      </c>
      <c r="W29">
        <v>39</v>
      </c>
      <c r="X29">
        <v>20</v>
      </c>
      <c r="Y29">
        <v>51.28</v>
      </c>
      <c r="Z29">
        <v>75</v>
      </c>
      <c r="AA29">
        <v>50</v>
      </c>
      <c r="AB29">
        <v>66.67</v>
      </c>
      <c r="AC29">
        <v>0</v>
      </c>
      <c r="AD29">
        <v>0</v>
      </c>
      <c r="AE29">
        <v>0</v>
      </c>
      <c r="AF29">
        <v>15</v>
      </c>
      <c r="AG29">
        <v>12</v>
      </c>
      <c r="AH29">
        <v>80</v>
      </c>
      <c r="AI29">
        <v>5</v>
      </c>
    </row>
    <row r="30" spans="1:35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375</v>
      </c>
      <c r="I30">
        <v>284</v>
      </c>
      <c r="J30">
        <v>75.73</v>
      </c>
      <c r="K30">
        <v>161</v>
      </c>
      <c r="L30">
        <v>109</v>
      </c>
      <c r="M30">
        <v>67.7</v>
      </c>
      <c r="N30">
        <v>51</v>
      </c>
      <c r="O30">
        <v>48</v>
      </c>
      <c r="P30">
        <v>94.12</v>
      </c>
      <c r="Q30">
        <v>113</v>
      </c>
      <c r="R30">
        <v>89</v>
      </c>
      <c r="S30">
        <v>78.760000000000005</v>
      </c>
      <c r="T30">
        <v>51</v>
      </c>
      <c r="U30">
        <v>26</v>
      </c>
      <c r="V30">
        <v>50.98</v>
      </c>
      <c r="W30">
        <v>39</v>
      </c>
      <c r="X30">
        <v>22</v>
      </c>
      <c r="Y30">
        <v>56.41</v>
      </c>
      <c r="Z30">
        <v>83</v>
      </c>
      <c r="AA30">
        <v>57</v>
      </c>
      <c r="AB30">
        <v>68.67</v>
      </c>
      <c r="AC30">
        <v>0</v>
      </c>
      <c r="AD30">
        <v>0</v>
      </c>
      <c r="AE30">
        <v>0</v>
      </c>
      <c r="AF30">
        <v>27</v>
      </c>
      <c r="AG30">
        <v>22</v>
      </c>
      <c r="AH30">
        <v>81.48</v>
      </c>
      <c r="AI30">
        <v>11</v>
      </c>
    </row>
    <row r="31" spans="1:35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384</v>
      </c>
      <c r="I31">
        <v>303</v>
      </c>
      <c r="J31">
        <v>78.91</v>
      </c>
      <c r="K31">
        <v>143</v>
      </c>
      <c r="L31">
        <v>97</v>
      </c>
      <c r="M31">
        <v>67.83</v>
      </c>
      <c r="N31">
        <v>56</v>
      </c>
      <c r="O31">
        <v>51</v>
      </c>
      <c r="P31">
        <v>91.07</v>
      </c>
      <c r="Q31">
        <v>132</v>
      </c>
      <c r="R31">
        <v>114</v>
      </c>
      <c r="S31">
        <v>86.36</v>
      </c>
      <c r="T31">
        <v>65</v>
      </c>
      <c r="U31">
        <v>35</v>
      </c>
      <c r="V31">
        <v>53.85</v>
      </c>
      <c r="W31">
        <v>59</v>
      </c>
      <c r="X31">
        <v>38</v>
      </c>
      <c r="Y31">
        <v>64.41</v>
      </c>
      <c r="Z31">
        <v>90</v>
      </c>
      <c r="AA31">
        <v>63</v>
      </c>
      <c r="AB31">
        <v>70</v>
      </c>
      <c r="AC31">
        <v>4</v>
      </c>
      <c r="AD31">
        <v>4</v>
      </c>
      <c r="AE31">
        <v>100</v>
      </c>
      <c r="AF31">
        <v>21</v>
      </c>
      <c r="AG31">
        <v>19</v>
      </c>
      <c r="AH31">
        <v>90.48</v>
      </c>
      <c r="AI31">
        <v>10</v>
      </c>
    </row>
  </sheetData>
  <mergeCells count="70">
    <mergeCell ref="B10:B11"/>
    <mergeCell ref="B28:B29"/>
    <mergeCell ref="D28:D29"/>
    <mergeCell ref="E30:E31"/>
    <mergeCell ref="E14:E15"/>
    <mergeCell ref="E16:E17"/>
    <mergeCell ref="B18:B19"/>
    <mergeCell ref="C20:C21"/>
    <mergeCell ref="C26:C27"/>
    <mergeCell ref="C22:C23"/>
    <mergeCell ref="A26:A27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C12:C13"/>
    <mergeCell ref="D4:D5"/>
    <mergeCell ref="D16:D17"/>
    <mergeCell ref="E6:E7"/>
    <mergeCell ref="D12:D13"/>
    <mergeCell ref="A4:A5"/>
    <mergeCell ref="D6:D7"/>
    <mergeCell ref="D8:D9"/>
    <mergeCell ref="A20:A21"/>
    <mergeCell ref="C18:C19"/>
    <mergeCell ref="B20:B21"/>
    <mergeCell ref="A10:A11"/>
    <mergeCell ref="D20:D21"/>
    <mergeCell ref="B4:B5"/>
    <mergeCell ref="B6:B7"/>
    <mergeCell ref="A18:A19"/>
    <mergeCell ref="A14:A15"/>
    <mergeCell ref="A8:A9"/>
    <mergeCell ref="C8:C9"/>
    <mergeCell ref="D18:D19"/>
    <mergeCell ref="B12:B13"/>
    <mergeCell ref="B16:B17"/>
    <mergeCell ref="C6:C7"/>
    <mergeCell ref="C24:C25"/>
    <mergeCell ref="B26:B27"/>
    <mergeCell ref="E24:E25"/>
    <mergeCell ref="C14:C15"/>
    <mergeCell ref="E26:E27"/>
    <mergeCell ref="D14:D15"/>
    <mergeCell ref="D10:D11"/>
    <mergeCell ref="B22:B23"/>
    <mergeCell ref="E18:E19"/>
    <mergeCell ref="E12:E13"/>
    <mergeCell ref="D26:D27"/>
    <mergeCell ref="B24:B25"/>
    <mergeCell ref="D24:D25"/>
    <mergeCell ref="E8:E9"/>
    <mergeCell ref="A30:A31"/>
    <mergeCell ref="D22:D23"/>
    <mergeCell ref="A28:A29"/>
    <mergeCell ref="E22:E23"/>
    <mergeCell ref="C28:C29"/>
    <mergeCell ref="B30:B31"/>
    <mergeCell ref="D30:D31"/>
    <mergeCell ref="A22:A23"/>
    <mergeCell ref="C30:C31"/>
    <mergeCell ref="A24:A25"/>
    <mergeCell ref="E28:E29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1"/>
  <sheetViews>
    <sheetView showOutlineSymbols="0" showWhiteSpace="0" topLeftCell="H1" zoomScale="60" workbookViewId="0">
      <selection activeCell="R25" sqref="R25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>AVERAGE(H4,H6)</f>
        <v>329.5</v>
      </c>
      <c r="I2" s="1">
        <f>AVERAGE(I4,I6)</f>
        <v>252.5</v>
      </c>
      <c r="J2" s="1">
        <f>IFERROR(SUM(I4,I6)/SUM(H4,H6)*100,0)</f>
        <v>76.631259484066774</v>
      </c>
      <c r="K2" s="1">
        <f>AVERAGE(K4,K6)</f>
        <v>123</v>
      </c>
      <c r="L2" s="1">
        <f>AVERAGE(L4,L6)</f>
        <v>81.5</v>
      </c>
      <c r="M2" s="1">
        <f>IFERROR(SUM(L4,L6)/SUM(K4,K6)*100,0)</f>
        <v>66.260162601626021</v>
      </c>
      <c r="N2" s="1">
        <f>AVERAGE(N4,N6)</f>
        <v>44.5</v>
      </c>
      <c r="O2" s="1">
        <f>AVERAGE(O4,O6)</f>
        <v>40</v>
      </c>
      <c r="P2" s="1">
        <f>IFERROR(SUM(O4,O6)/SUM(N4,N6)*100,0)</f>
        <v>89.887640449438194</v>
      </c>
      <c r="Q2" s="1">
        <f>AVERAGE(Q4,Q6)</f>
        <v>115</v>
      </c>
      <c r="R2" s="1">
        <f>AVERAGE(R4,R6)</f>
        <v>97.5</v>
      </c>
      <c r="S2" s="1">
        <f>IFERROR(SUM(R4,R6)/SUM(Q4,Q6)*100,0)</f>
        <v>84.782608695652172</v>
      </c>
      <c r="T2" s="1">
        <f>AVERAGE(T4,T6)</f>
        <v>42</v>
      </c>
      <c r="U2" s="1">
        <f>AVERAGE(U4,U6)</f>
        <v>21.5</v>
      </c>
      <c r="V2" s="1">
        <f>IFERROR(SUM(U4,U6)/SUM(T4,T6)*100,0)</f>
        <v>51.19047619047619</v>
      </c>
      <c r="W2" s="1">
        <f>AVERAGE(W4,W6)</f>
        <v>49.5</v>
      </c>
      <c r="X2" s="1">
        <f>AVERAGE(X4,X6)</f>
        <v>32</v>
      </c>
      <c r="Y2" s="1">
        <f>IFERROR(SUM(X4,X6)/SUM(W4,W6)*100,0)</f>
        <v>64.646464646464651</v>
      </c>
      <c r="Z2" s="1">
        <f>AVERAGE(Z4,Z6)</f>
        <v>59.5</v>
      </c>
      <c r="AA2" s="1">
        <f>AVERAGE(AA4,AA6)</f>
        <v>38.5</v>
      </c>
      <c r="AB2" s="1">
        <f>IFERROR(SUM(AA4,AA6)/SUM(Z4,Z6)*100,0)</f>
        <v>64.705882352941174</v>
      </c>
      <c r="AC2" s="1">
        <f>AVERAGE(AC4,AC6)</f>
        <v>0.5</v>
      </c>
      <c r="AD2" s="1">
        <f>AVERAGE(AD4,AD6)</f>
        <v>0.5</v>
      </c>
      <c r="AE2" s="1">
        <f>IFERROR(SUM(AD4,AD6)/SUM(AC4,AC6)*100,0)</f>
        <v>100</v>
      </c>
      <c r="AF2" s="1">
        <f>AVERAGE(AF4,AF6)</f>
        <v>20.5</v>
      </c>
      <c r="AG2" s="1">
        <f>AVERAGE(AG4,AG6)</f>
        <v>14</v>
      </c>
      <c r="AH2" s="1">
        <f>IFERROR(SUM(AG4,AG6)/SUM(AF4,AF6)*100,0)</f>
        <v>68.292682926829272</v>
      </c>
      <c r="AI2" s="1">
        <f>AVERAGE(AI4,AI6)</f>
        <v>5.5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>AVERAGE(H5,H7)</f>
        <v>402.5</v>
      </c>
      <c r="I3" s="1">
        <f>AVERAGE(I5,I7)</f>
        <v>324</v>
      </c>
      <c r="J3" s="1">
        <f>IFERROR(SUM(I5,I7)/SUM(H5,H7)*100,0)</f>
        <v>80.496894409937894</v>
      </c>
      <c r="K3" s="1">
        <f>AVERAGE(K5,K7)</f>
        <v>143</v>
      </c>
      <c r="L3" s="1">
        <f>AVERAGE(L5,L7)</f>
        <v>99.5</v>
      </c>
      <c r="M3" s="1">
        <f>IFERROR(SUM(L5,L7)/SUM(K5,K7)*100,0)</f>
        <v>69.580419580419587</v>
      </c>
      <c r="N3" s="1">
        <f>AVERAGE(N5,N7)</f>
        <v>55</v>
      </c>
      <c r="O3" s="1">
        <f>AVERAGE(O5,O7)</f>
        <v>53.5</v>
      </c>
      <c r="P3" s="1">
        <f>IFERROR(SUM(O5,O7)/SUM(N5,N7)*100,0)</f>
        <v>97.27272727272728</v>
      </c>
      <c r="Q3" s="1">
        <f>AVERAGE(Q5,Q7)</f>
        <v>161</v>
      </c>
      <c r="R3" s="1">
        <f>AVERAGE(R5,R7)</f>
        <v>139.5</v>
      </c>
      <c r="S3" s="1">
        <f>IFERROR(SUM(R5,R7)/SUM(Q5,Q7)*100,0)</f>
        <v>86.645962732919259</v>
      </c>
      <c r="T3" s="1">
        <f>AVERAGE(T5,T7)</f>
        <v>35</v>
      </c>
      <c r="U3" s="1">
        <f>AVERAGE(U5,U7)</f>
        <v>18</v>
      </c>
      <c r="V3" s="1">
        <f>IFERROR(SUM(U5,U7)/SUM(T5,T7)*100,0)</f>
        <v>51.428571428571423</v>
      </c>
      <c r="W3" s="1">
        <f>AVERAGE(W5,W7)</f>
        <v>47.5</v>
      </c>
      <c r="X3" s="1">
        <f>AVERAGE(X5,X7)</f>
        <v>29.5</v>
      </c>
      <c r="Y3" s="1">
        <f>IFERROR(SUM(X5,X7)/SUM(W5,W7)*100,0)</f>
        <v>62.10526315789474</v>
      </c>
      <c r="Z3" s="1">
        <f>AVERAGE(Z5,Z7)</f>
        <v>64</v>
      </c>
      <c r="AA3" s="1">
        <f>AVERAGE(AA5,AA7)</f>
        <v>40</v>
      </c>
      <c r="AB3" s="1">
        <f>IFERROR(SUM(AA5,AA7)/SUM(Z5,Z7)*100,0)</f>
        <v>62.5</v>
      </c>
      <c r="AC3" s="1">
        <f>AVERAGE(AC5,AC7)</f>
        <v>0</v>
      </c>
      <c r="AD3" s="1">
        <f>AVERAGE(AD5,AD7)</f>
        <v>0</v>
      </c>
      <c r="AE3" s="1">
        <f>IFERROR(SUM(AD5,AD7)/SUM(AC5,AC7)*100,0)</f>
        <v>0</v>
      </c>
      <c r="AF3" s="1">
        <f>AVERAGE(AF5,AF7)</f>
        <v>19</v>
      </c>
      <c r="AG3" s="1">
        <f>AVERAGE(AG5,AG7)</f>
        <v>16</v>
      </c>
      <c r="AH3" s="1">
        <f>IFERROR(SUM(AG5,AG7)/SUM(AF5,AF7)*100,0)</f>
        <v>84.210526315789465</v>
      </c>
      <c r="AI3" s="1">
        <f>AVERAGE(AI5,AI7)</f>
        <v>8.5</v>
      </c>
    </row>
    <row r="4" spans="1:35" ht="12" customHeight="1" x14ac:dyDescent="0.15">
      <c r="A4" s="6" t="s">
        <v>214</v>
      </c>
      <c r="B4" s="5" t="s">
        <v>216</v>
      </c>
      <c r="C4" s="5" t="s">
        <v>215</v>
      </c>
      <c r="D4" s="5" t="s">
        <v>106</v>
      </c>
      <c r="E4" s="5">
        <v>106</v>
      </c>
      <c r="F4" t="s">
        <v>27</v>
      </c>
      <c r="G4" t="s">
        <v>39</v>
      </c>
      <c r="H4">
        <v>179</v>
      </c>
      <c r="I4">
        <v>114</v>
      </c>
      <c r="J4">
        <v>63.69</v>
      </c>
      <c r="K4">
        <v>78</v>
      </c>
      <c r="L4">
        <v>43</v>
      </c>
      <c r="M4">
        <v>55.13</v>
      </c>
      <c r="N4">
        <v>28</v>
      </c>
      <c r="O4">
        <v>24</v>
      </c>
      <c r="P4">
        <v>85.71</v>
      </c>
      <c r="Q4">
        <v>49</v>
      </c>
      <c r="R4">
        <v>36</v>
      </c>
      <c r="S4">
        <v>73.47</v>
      </c>
      <c r="T4">
        <v>35</v>
      </c>
      <c r="U4">
        <v>15</v>
      </c>
      <c r="V4">
        <v>42.86</v>
      </c>
      <c r="W4">
        <v>29</v>
      </c>
      <c r="X4">
        <v>13</v>
      </c>
      <c r="Y4">
        <v>44.83</v>
      </c>
      <c r="Z4">
        <v>40</v>
      </c>
      <c r="AA4">
        <v>20</v>
      </c>
      <c r="AB4">
        <v>50</v>
      </c>
      <c r="AC4">
        <v>0</v>
      </c>
      <c r="AD4">
        <v>0</v>
      </c>
      <c r="AE4">
        <v>0</v>
      </c>
      <c r="AF4">
        <v>17</v>
      </c>
      <c r="AG4">
        <v>10</v>
      </c>
      <c r="AH4">
        <v>58.82</v>
      </c>
      <c r="AI4">
        <v>7</v>
      </c>
    </row>
    <row r="5" spans="1:35" ht="12" customHeight="1" x14ac:dyDescent="0.15">
      <c r="A5" s="6"/>
      <c r="B5" s="5" t="s">
        <v>216</v>
      </c>
      <c r="C5" s="5" t="s">
        <v>215</v>
      </c>
      <c r="D5" s="5" t="s">
        <v>106</v>
      </c>
      <c r="E5" s="5">
        <v>106</v>
      </c>
      <c r="F5" t="s">
        <v>249</v>
      </c>
      <c r="G5" t="s">
        <v>250</v>
      </c>
      <c r="H5">
        <v>491</v>
      </c>
      <c r="I5">
        <v>426</v>
      </c>
      <c r="J5">
        <v>86.76</v>
      </c>
      <c r="K5">
        <v>164</v>
      </c>
      <c r="L5">
        <v>131</v>
      </c>
      <c r="M5">
        <v>79.88</v>
      </c>
      <c r="N5">
        <v>70</v>
      </c>
      <c r="O5">
        <v>68</v>
      </c>
      <c r="P5">
        <v>97.14</v>
      </c>
      <c r="Q5">
        <v>209</v>
      </c>
      <c r="R5">
        <v>189</v>
      </c>
      <c r="S5">
        <v>90.43</v>
      </c>
      <c r="T5">
        <v>22</v>
      </c>
      <c r="U5">
        <v>12</v>
      </c>
      <c r="V5">
        <v>54.55</v>
      </c>
      <c r="W5">
        <v>53</v>
      </c>
      <c r="X5">
        <v>36</v>
      </c>
      <c r="Y5">
        <v>67.92</v>
      </c>
      <c r="Z5">
        <v>68</v>
      </c>
      <c r="AA5">
        <v>55</v>
      </c>
      <c r="AB5">
        <v>80.88</v>
      </c>
      <c r="AC5">
        <v>0</v>
      </c>
      <c r="AD5">
        <v>0</v>
      </c>
      <c r="AE5">
        <v>0</v>
      </c>
      <c r="AF5">
        <v>18</v>
      </c>
      <c r="AG5">
        <v>17</v>
      </c>
      <c r="AH5">
        <v>94.44</v>
      </c>
      <c r="AI5">
        <v>6</v>
      </c>
    </row>
    <row r="6" spans="1:35" ht="12" customHeight="1" x14ac:dyDescent="0.15">
      <c r="A6" s="6" t="s">
        <v>103</v>
      </c>
      <c r="B6" s="5" t="s">
        <v>104</v>
      </c>
      <c r="C6" s="5" t="s">
        <v>105</v>
      </c>
      <c r="D6" s="5" t="s">
        <v>106</v>
      </c>
      <c r="E6" s="5">
        <v>101</v>
      </c>
      <c r="F6" t="s">
        <v>27</v>
      </c>
      <c r="G6" t="s">
        <v>39</v>
      </c>
      <c r="H6">
        <v>480</v>
      </c>
      <c r="I6">
        <v>391</v>
      </c>
      <c r="J6">
        <v>81.459999999999994</v>
      </c>
      <c r="K6">
        <v>168</v>
      </c>
      <c r="L6">
        <v>120</v>
      </c>
      <c r="M6">
        <v>71.430000000000007</v>
      </c>
      <c r="N6">
        <v>61</v>
      </c>
      <c r="O6">
        <v>56</v>
      </c>
      <c r="P6">
        <v>91.8</v>
      </c>
      <c r="Q6">
        <v>181</v>
      </c>
      <c r="R6">
        <v>159</v>
      </c>
      <c r="S6">
        <v>87.85</v>
      </c>
      <c r="T6">
        <v>49</v>
      </c>
      <c r="U6">
        <v>28</v>
      </c>
      <c r="V6">
        <v>57.14</v>
      </c>
      <c r="W6">
        <v>70</v>
      </c>
      <c r="X6">
        <v>51</v>
      </c>
      <c r="Y6">
        <v>72.86</v>
      </c>
      <c r="Z6">
        <v>79</v>
      </c>
      <c r="AA6">
        <v>57</v>
      </c>
      <c r="AB6">
        <v>72.150000000000006</v>
      </c>
      <c r="AC6">
        <v>1</v>
      </c>
      <c r="AD6">
        <v>1</v>
      </c>
      <c r="AE6">
        <v>100</v>
      </c>
      <c r="AF6">
        <v>24</v>
      </c>
      <c r="AG6">
        <v>18</v>
      </c>
      <c r="AH6">
        <v>75</v>
      </c>
      <c r="AI6">
        <v>4</v>
      </c>
    </row>
    <row r="7" spans="1:35" ht="12" customHeight="1" x14ac:dyDescent="0.15">
      <c r="A7" s="6"/>
      <c r="B7" s="5" t="s">
        <v>104</v>
      </c>
      <c r="C7" s="5" t="s">
        <v>105</v>
      </c>
      <c r="D7" s="5" t="s">
        <v>106</v>
      </c>
      <c r="E7" s="5">
        <v>101</v>
      </c>
      <c r="F7" t="s">
        <v>107</v>
      </c>
      <c r="G7" t="s">
        <v>108</v>
      </c>
      <c r="H7">
        <v>314</v>
      </c>
      <c r="I7">
        <v>222</v>
      </c>
      <c r="J7">
        <v>70.7</v>
      </c>
      <c r="K7">
        <v>122</v>
      </c>
      <c r="L7">
        <v>68</v>
      </c>
      <c r="M7">
        <v>55.74</v>
      </c>
      <c r="N7">
        <v>40</v>
      </c>
      <c r="O7">
        <v>39</v>
      </c>
      <c r="P7">
        <v>97.5</v>
      </c>
      <c r="Q7">
        <v>113</v>
      </c>
      <c r="R7">
        <v>90</v>
      </c>
      <c r="S7">
        <v>79.650000000000006</v>
      </c>
      <c r="T7">
        <v>48</v>
      </c>
      <c r="U7">
        <v>24</v>
      </c>
      <c r="V7">
        <v>50</v>
      </c>
      <c r="W7">
        <v>42</v>
      </c>
      <c r="X7">
        <v>23</v>
      </c>
      <c r="Y7">
        <v>54.76</v>
      </c>
      <c r="Z7">
        <v>60</v>
      </c>
      <c r="AA7">
        <v>25</v>
      </c>
      <c r="AB7">
        <v>41.67</v>
      </c>
      <c r="AC7">
        <v>0</v>
      </c>
      <c r="AD7">
        <v>0</v>
      </c>
      <c r="AE7">
        <v>0</v>
      </c>
      <c r="AF7">
        <v>20</v>
      </c>
      <c r="AG7">
        <v>15</v>
      </c>
      <c r="AH7">
        <v>75</v>
      </c>
      <c r="AI7">
        <v>11</v>
      </c>
    </row>
    <row r="8" spans="1:35" ht="12" customHeight="1" x14ac:dyDescent="0.15">
      <c r="A8" s="4"/>
      <c r="B8" s="5"/>
      <c r="C8" s="5"/>
      <c r="D8" s="5"/>
      <c r="E8" s="5"/>
    </row>
    <row r="9" spans="1:35" ht="12" customHeight="1" x14ac:dyDescent="0.15">
      <c r="A9" s="5"/>
      <c r="B9" s="5"/>
      <c r="C9" s="5"/>
      <c r="D9" s="5"/>
      <c r="E9" s="5"/>
    </row>
    <row r="10" spans="1:35" ht="12" customHeight="1" x14ac:dyDescent="0.15">
      <c r="A10" s="4"/>
      <c r="B10" s="5"/>
      <c r="C10" s="5"/>
      <c r="D10" s="5"/>
      <c r="E10" s="5"/>
    </row>
    <row r="11" spans="1:35" ht="12" customHeight="1" x14ac:dyDescent="0.15">
      <c r="A11" s="5"/>
      <c r="B11" s="5"/>
      <c r="C11" s="5"/>
      <c r="D11" s="5"/>
      <c r="E11" s="5"/>
    </row>
    <row r="12" spans="1:35" ht="12" customHeight="1" x14ac:dyDescent="0.15">
      <c r="A12" s="4"/>
      <c r="B12" s="5"/>
      <c r="C12" s="5"/>
      <c r="D12" s="5"/>
      <c r="E12" s="5"/>
    </row>
    <row r="13" spans="1:35" ht="12" customHeight="1" x14ac:dyDescent="0.15">
      <c r="A13" s="5"/>
      <c r="B13" s="5"/>
      <c r="C13" s="5"/>
      <c r="D13" s="5"/>
      <c r="E13" s="5"/>
    </row>
    <row r="14" spans="1:35" ht="12" customHeight="1" x14ac:dyDescent="0.15">
      <c r="A14" s="4"/>
      <c r="B14" s="5"/>
      <c r="C14" s="5"/>
      <c r="D14" s="5"/>
      <c r="E14" s="5"/>
    </row>
    <row r="15" spans="1:35" ht="12" customHeight="1" x14ac:dyDescent="0.15">
      <c r="A15" s="5"/>
      <c r="B15" s="5"/>
      <c r="C15" s="5"/>
      <c r="D15" s="5"/>
      <c r="E15" s="5"/>
    </row>
    <row r="16" spans="1:35" ht="12" customHeight="1" x14ac:dyDescent="0.15">
      <c r="A16" s="4"/>
      <c r="B16" s="5"/>
      <c r="C16" s="5"/>
      <c r="D16" s="5"/>
      <c r="E16" s="5"/>
    </row>
    <row r="17" spans="1:5" ht="12" customHeight="1" x14ac:dyDescent="0.15">
      <c r="A17" s="5"/>
      <c r="B17" s="5"/>
      <c r="C17" s="5"/>
      <c r="D17" s="5"/>
      <c r="E17" s="5"/>
    </row>
    <row r="18" spans="1:5" ht="12" customHeight="1" x14ac:dyDescent="0.15">
      <c r="A18" s="4"/>
      <c r="B18" s="5"/>
      <c r="C18" s="5"/>
      <c r="D18" s="5"/>
      <c r="E18" s="5"/>
    </row>
    <row r="19" spans="1:5" ht="12" customHeight="1" x14ac:dyDescent="0.15">
      <c r="A19" s="5"/>
      <c r="B19" s="5"/>
      <c r="C19" s="5"/>
      <c r="D19" s="5"/>
      <c r="E19" s="5"/>
    </row>
    <row r="20" spans="1:5" ht="12" customHeight="1" x14ac:dyDescent="0.15">
      <c r="A20" s="4"/>
      <c r="B20" s="5"/>
      <c r="C20" s="5"/>
      <c r="D20" s="5"/>
      <c r="E20" s="5"/>
    </row>
    <row r="21" spans="1:5" ht="12" customHeight="1" x14ac:dyDescent="0.15">
      <c r="A21" s="5"/>
      <c r="B21" s="5"/>
      <c r="C21" s="5"/>
      <c r="D21" s="5"/>
      <c r="E21" s="5"/>
    </row>
    <row r="22" spans="1:5" x14ac:dyDescent="0.15">
      <c r="A22" s="4"/>
      <c r="B22" s="5"/>
      <c r="C22" s="5"/>
      <c r="D22" s="5"/>
      <c r="E22" s="5"/>
    </row>
    <row r="23" spans="1:5" x14ac:dyDescent="0.15">
      <c r="A23" s="5"/>
      <c r="B23" s="5"/>
      <c r="C23" s="5"/>
      <c r="D23" s="5"/>
      <c r="E23" s="5"/>
    </row>
    <row r="24" spans="1:5" x14ac:dyDescent="0.15">
      <c r="A24" s="4"/>
      <c r="B24" s="5"/>
      <c r="C24" s="5"/>
      <c r="D24" s="5"/>
      <c r="E24" s="5"/>
    </row>
    <row r="25" spans="1:5" x14ac:dyDescent="0.15">
      <c r="A25" s="5"/>
      <c r="B25" s="5"/>
      <c r="C25" s="5"/>
      <c r="D25" s="5"/>
      <c r="E25" s="5"/>
    </row>
    <row r="26" spans="1:5" x14ac:dyDescent="0.15">
      <c r="A26" s="4"/>
      <c r="B26" s="5"/>
      <c r="C26" s="5"/>
      <c r="D26" s="5"/>
      <c r="E26" s="5"/>
    </row>
    <row r="27" spans="1:5" x14ac:dyDescent="0.15">
      <c r="A27" s="5"/>
      <c r="B27" s="5"/>
      <c r="C27" s="5"/>
      <c r="D27" s="5"/>
      <c r="E27" s="5"/>
    </row>
    <row r="28" spans="1:5" x14ac:dyDescent="0.15">
      <c r="A28" s="4"/>
      <c r="B28" s="5"/>
      <c r="C28" s="5"/>
      <c r="D28" s="5"/>
      <c r="E28" s="5"/>
    </row>
    <row r="29" spans="1:5" x14ac:dyDescent="0.15">
      <c r="A29" s="5"/>
      <c r="B29" s="5"/>
      <c r="C29" s="5"/>
      <c r="D29" s="5"/>
      <c r="E29" s="5"/>
    </row>
    <row r="30" spans="1:5" x14ac:dyDescent="0.15">
      <c r="A30" s="4"/>
      <c r="B30" s="5"/>
      <c r="C30" s="5"/>
      <c r="D30" s="5"/>
      <c r="E30" s="5"/>
    </row>
    <row r="31" spans="1:5" x14ac:dyDescent="0.15">
      <c r="A31" s="5"/>
      <c r="B31" s="5"/>
      <c r="C31" s="5"/>
      <c r="D31" s="5"/>
      <c r="E31" s="5"/>
    </row>
  </sheetData>
  <mergeCells count="70">
    <mergeCell ref="C30:C31"/>
    <mergeCell ref="A24:A25"/>
    <mergeCell ref="E8:E9"/>
    <mergeCell ref="B12:B13"/>
    <mergeCell ref="B18:B19"/>
    <mergeCell ref="C20:C21"/>
    <mergeCell ref="A16:A17"/>
    <mergeCell ref="E28:E29"/>
    <mergeCell ref="B28:B29"/>
    <mergeCell ref="D28:D29"/>
    <mergeCell ref="D24:D25"/>
    <mergeCell ref="E30:E31"/>
    <mergeCell ref="A8:A9"/>
    <mergeCell ref="A22:A23"/>
    <mergeCell ref="E26:E27"/>
    <mergeCell ref="B30:B31"/>
    <mergeCell ref="E4:E5"/>
    <mergeCell ref="E20:E21"/>
    <mergeCell ref="D22:D23"/>
    <mergeCell ref="B8:B9"/>
    <mergeCell ref="C10:C11"/>
    <mergeCell ref="C16:C17"/>
    <mergeCell ref="D4:D5"/>
    <mergeCell ref="B6:B7"/>
    <mergeCell ref="D18:D19"/>
    <mergeCell ref="C8:C9"/>
    <mergeCell ref="E16:E17"/>
    <mergeCell ref="E18:E19"/>
    <mergeCell ref="E22:E23"/>
    <mergeCell ref="E12:E13"/>
    <mergeCell ref="A26:A27"/>
    <mergeCell ref="C12:C13"/>
    <mergeCell ref="D16:D17"/>
    <mergeCell ref="E6:E7"/>
    <mergeCell ref="D12:D13"/>
    <mergeCell ref="B10:B11"/>
    <mergeCell ref="A18:A19"/>
    <mergeCell ref="B24:B25"/>
    <mergeCell ref="A14:A15"/>
    <mergeCell ref="E10:E11"/>
    <mergeCell ref="C26:C27"/>
    <mergeCell ref="B14:B15"/>
    <mergeCell ref="C22:C23"/>
    <mergeCell ref="B26:B27"/>
    <mergeCell ref="A4:A5"/>
    <mergeCell ref="D8:D9"/>
    <mergeCell ref="A20:A21"/>
    <mergeCell ref="C18:C19"/>
    <mergeCell ref="B20:B21"/>
    <mergeCell ref="A10:A11"/>
    <mergeCell ref="D20:D21"/>
    <mergeCell ref="D14:D15"/>
    <mergeCell ref="A6:A7"/>
    <mergeCell ref="A12:A13"/>
    <mergeCell ref="C4:C5"/>
    <mergeCell ref="E24:E25"/>
    <mergeCell ref="C14:C15"/>
    <mergeCell ref="A30:A31"/>
    <mergeCell ref="E14:E15"/>
    <mergeCell ref="D30:D31"/>
    <mergeCell ref="D10:D11"/>
    <mergeCell ref="B4:B5"/>
    <mergeCell ref="A28:A29"/>
    <mergeCell ref="D26:D27"/>
    <mergeCell ref="B22:B23"/>
    <mergeCell ref="C28:C29"/>
    <mergeCell ref="B16:B17"/>
    <mergeCell ref="C6:C7"/>
    <mergeCell ref="C24:C25"/>
    <mergeCell ref="D6:D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1"/>
  <sheetViews>
    <sheetView showOutlineSymbols="0" showWhiteSpace="0" workbookViewId="0">
      <selection sqref="A1:M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AVERAGE(H4,H6,H8,H10,H12,H14,H16,H18,H20,H22,H24,H26,H28,H30)</f>
        <v>16.298571428571432</v>
      </c>
      <c r="I2" s="1">
        <f t="shared" si="0"/>
        <v>3.37</v>
      </c>
      <c r="J2" s="1">
        <f t="shared" si="0"/>
        <v>14.94142857142857</v>
      </c>
      <c r="K2" s="1">
        <f t="shared" si="0"/>
        <v>10.579285714285714</v>
      </c>
      <c r="L2" s="1">
        <f t="shared" si="0"/>
        <v>16.169285714285714</v>
      </c>
      <c r="M2" s="1">
        <f t="shared" si="0"/>
        <v>19.866428571428568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14.89357142857143</v>
      </c>
      <c r="I3" s="1">
        <f t="shared" si="0"/>
        <v>3.3364285714285713</v>
      </c>
      <c r="J3" s="1">
        <f t="shared" si="0"/>
        <v>15.012857142857143</v>
      </c>
      <c r="K3" s="1">
        <f t="shared" si="0"/>
        <v>11.205</v>
      </c>
      <c r="L3" s="1">
        <f t="shared" si="0"/>
        <v>19.423571428571428</v>
      </c>
      <c r="M3" s="1">
        <f t="shared" si="0"/>
        <v>20.618571428571425</v>
      </c>
    </row>
    <row r="4" spans="1:13" ht="12" customHeight="1" x14ac:dyDescent="0.15">
      <c r="A4" s="4" t="s">
        <v>29</v>
      </c>
      <c r="B4" s="5" t="s">
        <v>47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4" t="s">
        <v>36</v>
      </c>
      <c r="B6" s="5" t="s">
        <v>53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4" t="s">
        <v>42</v>
      </c>
      <c r="B8" s="5" t="s">
        <v>59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5"/>
      <c r="B9" s="5"/>
      <c r="C9" s="5"/>
      <c r="D9" s="5"/>
      <c r="E9" s="5"/>
      <c r="F9" t="s">
        <v>45</v>
      </c>
      <c r="G9" t="s">
        <v>41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4" t="s">
        <v>46</v>
      </c>
      <c r="B10" s="5" t="s">
        <v>65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4" t="s">
        <v>52</v>
      </c>
      <c r="B12" s="5" t="s">
        <v>70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4" t="s">
        <v>58</v>
      </c>
      <c r="B14" s="5" t="s">
        <v>74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4" t="s">
        <v>64</v>
      </c>
      <c r="B16" s="5" t="s">
        <v>78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4" t="s">
        <v>69</v>
      </c>
      <c r="B18" s="5" t="s">
        <v>81</v>
      </c>
      <c r="C18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5"/>
      <c r="B19" s="5"/>
      <c r="C19" t="s">
        <v>71</v>
      </c>
      <c r="D19" s="5"/>
      <c r="E19" s="5"/>
      <c r="F19" t="s">
        <v>72</v>
      </c>
      <c r="G19" t="s">
        <v>55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4" t="s">
        <v>73</v>
      </c>
      <c r="B20" s="5" t="s">
        <v>87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  <row r="28" spans="1:13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16.489999999999998</v>
      </c>
      <c r="I28">
        <v>4.3899999999999997</v>
      </c>
      <c r="J28">
        <v>12.94</v>
      </c>
      <c r="K28">
        <v>8.7899999999999991</v>
      </c>
      <c r="L28">
        <v>18.350000000000001</v>
      </c>
      <c r="M28">
        <v>17.670000000000002</v>
      </c>
    </row>
    <row r="29" spans="1:13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15.77</v>
      </c>
      <c r="I29">
        <v>2.9</v>
      </c>
      <c r="J29">
        <v>16.89</v>
      </c>
      <c r="K29">
        <v>16.170000000000002</v>
      </c>
      <c r="L29">
        <v>14.91</v>
      </c>
      <c r="M29">
        <v>21.16</v>
      </c>
    </row>
    <row r="30" spans="1:13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17.71</v>
      </c>
      <c r="I30">
        <v>3.26</v>
      </c>
      <c r="J30">
        <v>13.6</v>
      </c>
      <c r="K30">
        <v>11.04</v>
      </c>
      <c r="L30">
        <v>15.09</v>
      </c>
      <c r="M30">
        <v>18.96</v>
      </c>
    </row>
    <row r="31" spans="1:13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15.83</v>
      </c>
      <c r="I31">
        <v>3.2</v>
      </c>
      <c r="J31">
        <v>16.93</v>
      </c>
      <c r="K31">
        <v>13.95</v>
      </c>
      <c r="L31">
        <v>17.96</v>
      </c>
      <c r="M31">
        <v>22.46</v>
      </c>
    </row>
  </sheetData>
  <mergeCells count="69">
    <mergeCell ref="B28:B29"/>
    <mergeCell ref="D24:D25"/>
    <mergeCell ref="D28:D29"/>
    <mergeCell ref="E30:E31"/>
    <mergeCell ref="A8:A9"/>
    <mergeCell ref="A22:A23"/>
    <mergeCell ref="E26:E27"/>
    <mergeCell ref="B30:B31"/>
    <mergeCell ref="D30:D31"/>
    <mergeCell ref="E4:E5"/>
    <mergeCell ref="C20:C21"/>
    <mergeCell ref="E20:E21"/>
    <mergeCell ref="B8:B9"/>
    <mergeCell ref="C10:C11"/>
    <mergeCell ref="C16:C17"/>
    <mergeCell ref="D4:D5"/>
    <mergeCell ref="E14:E15"/>
    <mergeCell ref="D18:D19"/>
    <mergeCell ref="C8:C9"/>
    <mergeCell ref="E16:E17"/>
    <mergeCell ref="E8:E9"/>
    <mergeCell ref="B12:B13"/>
    <mergeCell ref="B18:B19"/>
    <mergeCell ref="E6:E7"/>
    <mergeCell ref="D12:D13"/>
    <mergeCell ref="B10:B11"/>
    <mergeCell ref="A18:A19"/>
    <mergeCell ref="B6:B7"/>
    <mergeCell ref="A14:A15"/>
    <mergeCell ref="A16:A17"/>
    <mergeCell ref="E10:E11"/>
    <mergeCell ref="C26:C27"/>
    <mergeCell ref="B14:B15"/>
    <mergeCell ref="C22:C23"/>
    <mergeCell ref="A12:A13"/>
    <mergeCell ref="A26:A27"/>
    <mergeCell ref="C12:C13"/>
    <mergeCell ref="D16:D17"/>
    <mergeCell ref="B24:B25"/>
    <mergeCell ref="A24:A25"/>
    <mergeCell ref="A4:A5"/>
    <mergeCell ref="D6:D7"/>
    <mergeCell ref="D8:D9"/>
    <mergeCell ref="A20:A21"/>
    <mergeCell ref="B20:B21"/>
    <mergeCell ref="A10:A11"/>
    <mergeCell ref="D20:D21"/>
    <mergeCell ref="D14:D15"/>
    <mergeCell ref="D10:D11"/>
    <mergeCell ref="B4:B5"/>
    <mergeCell ref="C6:C7"/>
    <mergeCell ref="A6:A7"/>
    <mergeCell ref="C4:C5"/>
    <mergeCell ref="A30:A31"/>
    <mergeCell ref="D22:D23"/>
    <mergeCell ref="B22:B23"/>
    <mergeCell ref="E18:E19"/>
    <mergeCell ref="E12:E13"/>
    <mergeCell ref="D26:D27"/>
    <mergeCell ref="A28:A29"/>
    <mergeCell ref="E22:E23"/>
    <mergeCell ref="C28:C29"/>
    <mergeCell ref="B16:B17"/>
    <mergeCell ref="C24:C25"/>
    <mergeCell ref="B26:B27"/>
    <mergeCell ref="E24:E25"/>
    <mergeCell ref="C14:C15"/>
    <mergeCell ref="C30:C31"/>
    <mergeCell ref="E28:E29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1"/>
  <sheetViews>
    <sheetView tabSelected="1" showOutlineSymbols="0" showWhiteSpace="0" zoomScale="75" workbookViewId="0">
      <selection sqref="A1:M1"/>
    </sheetView>
  </sheetViews>
  <sheetFormatPr baseColWidth="10" defaultColWidth="8.83203125" defaultRowHeight="14" x14ac:dyDescent="0.15"/>
  <cols>
    <col min="1" max="1" width="16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</row>
    <row r="2" spans="1:13" x14ac:dyDescent="0.15">
      <c r="A2" s="1"/>
      <c r="B2" s="2" t="s">
        <v>27</v>
      </c>
      <c r="C2" s="2"/>
      <c r="D2" s="2"/>
      <c r="E2" s="2"/>
      <c r="F2" s="2"/>
      <c r="G2" s="2">
        <v>17.14</v>
      </c>
      <c r="H2" s="2">
        <v>3.22</v>
      </c>
      <c r="I2" s="2">
        <v>14.88</v>
      </c>
      <c r="J2" s="2">
        <v>11.89</v>
      </c>
      <c r="K2" s="2">
        <v>18.96</v>
      </c>
      <c r="L2" s="2">
        <v>20.71</v>
      </c>
    </row>
    <row r="3" spans="1:13" x14ac:dyDescent="0.15">
      <c r="A3" s="1"/>
      <c r="B3" s="2" t="s">
        <v>102</v>
      </c>
      <c r="C3" s="2"/>
      <c r="D3" s="2"/>
      <c r="E3" s="2"/>
      <c r="F3" s="2"/>
      <c r="G3" s="2"/>
      <c r="H3" s="2">
        <v>14.89</v>
      </c>
      <c r="I3" s="2">
        <v>3.98</v>
      </c>
      <c r="J3" s="2">
        <v>9.89</v>
      </c>
      <c r="K3" s="2">
        <v>11.47</v>
      </c>
      <c r="L3" s="2">
        <v>21.76</v>
      </c>
      <c r="M3" s="2">
        <v>19.649999999999999</v>
      </c>
    </row>
    <row r="4" spans="1:13" ht="12" customHeight="1" x14ac:dyDescent="0.15">
      <c r="A4" s="6" t="s">
        <v>214</v>
      </c>
      <c r="B4" s="3">
        <v>46248</v>
      </c>
      <c r="C4" s="2" t="s">
        <v>215</v>
      </c>
      <c r="D4" s="2" t="s">
        <v>106</v>
      </c>
      <c r="E4" s="2">
        <v>106</v>
      </c>
      <c r="F4" s="2" t="s">
        <v>27</v>
      </c>
      <c r="G4" s="2" t="s">
        <v>39</v>
      </c>
      <c r="H4" s="2">
        <v>15.58</v>
      </c>
      <c r="I4" s="2">
        <v>1.81</v>
      </c>
      <c r="J4" s="2">
        <v>19.55</v>
      </c>
      <c r="K4" s="2">
        <v>15.04</v>
      </c>
      <c r="L4" s="2">
        <v>19.059999999999999</v>
      </c>
      <c r="M4" s="2">
        <v>22.24</v>
      </c>
    </row>
    <row r="5" spans="1:13" ht="12" customHeight="1" x14ac:dyDescent="0.15">
      <c r="A5" s="6"/>
      <c r="B5" s="3">
        <v>46248</v>
      </c>
      <c r="C5" s="2" t="s">
        <v>215</v>
      </c>
      <c r="D5" s="2" t="s">
        <v>106</v>
      </c>
      <c r="E5" s="2">
        <v>106</v>
      </c>
      <c r="F5" s="2" t="s">
        <v>249</v>
      </c>
      <c r="G5" s="2" t="s">
        <v>250</v>
      </c>
      <c r="H5" s="2">
        <v>15.2</v>
      </c>
      <c r="I5" s="2">
        <v>4.8099999999999996</v>
      </c>
      <c r="J5" s="2">
        <v>4.4800000000000004</v>
      </c>
      <c r="K5" s="2">
        <v>6.05</v>
      </c>
      <c r="L5" s="2">
        <v>18.84</v>
      </c>
      <c r="M5" s="2">
        <v>18.649999999999999</v>
      </c>
    </row>
    <row r="6" spans="1:13" ht="12" customHeight="1" x14ac:dyDescent="0.15">
      <c r="A6" s="6" t="s">
        <v>103</v>
      </c>
      <c r="B6" s="3">
        <v>46241</v>
      </c>
      <c r="C6" s="2" t="s">
        <v>105</v>
      </c>
      <c r="D6" s="2" t="s">
        <v>106</v>
      </c>
      <c r="E6" s="2">
        <v>101</v>
      </c>
      <c r="F6" s="2" t="s">
        <v>27</v>
      </c>
      <c r="G6" s="2" t="s">
        <v>39</v>
      </c>
      <c r="H6" s="2">
        <v>18.690000000000001</v>
      </c>
      <c r="I6" s="2">
        <v>4.62</v>
      </c>
      <c r="J6" s="2">
        <v>10.210000000000001</v>
      </c>
      <c r="K6" s="2">
        <v>8.74</v>
      </c>
      <c r="L6" s="2">
        <v>18.850000000000001</v>
      </c>
      <c r="M6" s="2">
        <v>19.170000000000002</v>
      </c>
    </row>
    <row r="7" spans="1:13" ht="12" customHeight="1" x14ac:dyDescent="0.15">
      <c r="A7" s="6"/>
      <c r="B7" s="3">
        <v>46241</v>
      </c>
      <c r="C7" s="2" t="s">
        <v>105</v>
      </c>
      <c r="D7" s="2" t="s">
        <v>106</v>
      </c>
      <c r="E7" s="2">
        <v>101</v>
      </c>
      <c r="F7" s="2" t="s">
        <v>107</v>
      </c>
      <c r="G7" s="2" t="s">
        <v>108</v>
      </c>
      <c r="H7" s="2">
        <v>14.58</v>
      </c>
      <c r="I7" s="2">
        <v>3.14</v>
      </c>
      <c r="J7" s="2">
        <v>15.29</v>
      </c>
      <c r="K7" s="2">
        <v>16.89</v>
      </c>
      <c r="L7" s="2">
        <v>24.67</v>
      </c>
      <c r="M7" s="2">
        <v>20.65</v>
      </c>
    </row>
    <row r="8" spans="1:13" ht="12" customHeight="1" x14ac:dyDescent="0.15">
      <c r="A8" s="4"/>
      <c r="B8" s="5"/>
      <c r="C8" s="5"/>
      <c r="D8" s="5"/>
      <c r="E8" s="5"/>
    </row>
    <row r="9" spans="1:13" ht="12" customHeight="1" x14ac:dyDescent="0.15">
      <c r="A9" s="5"/>
      <c r="B9" s="5"/>
      <c r="C9" s="5"/>
      <c r="D9" s="5"/>
      <c r="E9" s="5"/>
    </row>
    <row r="10" spans="1:13" ht="12" customHeight="1" x14ac:dyDescent="0.15">
      <c r="A10" s="4"/>
      <c r="B10" s="5"/>
      <c r="C10" s="5"/>
      <c r="D10" s="5"/>
      <c r="E10" s="5"/>
    </row>
    <row r="11" spans="1:13" ht="12" customHeight="1" x14ac:dyDescent="0.15">
      <c r="A11" s="5"/>
      <c r="B11" s="5"/>
      <c r="C11" s="5"/>
      <c r="D11" s="5"/>
      <c r="E11" s="5"/>
    </row>
    <row r="12" spans="1:13" ht="12" customHeight="1" x14ac:dyDescent="0.15">
      <c r="A12" s="4"/>
      <c r="B12" s="5"/>
      <c r="C12" s="5"/>
      <c r="D12" s="5"/>
      <c r="E12" s="5"/>
    </row>
    <row r="13" spans="1:13" ht="12" customHeight="1" x14ac:dyDescent="0.15">
      <c r="A13" s="5"/>
      <c r="B13" s="5"/>
      <c r="C13" s="5"/>
      <c r="D13" s="5"/>
      <c r="E13" s="5"/>
    </row>
    <row r="14" spans="1:13" ht="12" customHeight="1" x14ac:dyDescent="0.15">
      <c r="A14" s="4"/>
      <c r="B14" s="5"/>
      <c r="C14" s="5"/>
      <c r="D14" s="5"/>
      <c r="E14" s="5"/>
    </row>
    <row r="15" spans="1:13" ht="12" customHeight="1" x14ac:dyDescent="0.15">
      <c r="A15" s="5"/>
      <c r="B15" s="5"/>
      <c r="C15" s="5"/>
      <c r="D15" s="5"/>
      <c r="E15" s="5"/>
    </row>
    <row r="16" spans="1:13" ht="12" customHeight="1" x14ac:dyDescent="0.15">
      <c r="A16" s="4"/>
      <c r="B16" s="5"/>
      <c r="C16" s="5"/>
      <c r="D16" s="5"/>
      <c r="E16" s="5"/>
    </row>
    <row r="17" spans="1:5" ht="12" customHeight="1" x14ac:dyDescent="0.15">
      <c r="A17" s="5"/>
      <c r="B17" s="5"/>
      <c r="C17" s="5"/>
      <c r="D17" s="5"/>
      <c r="E17" s="5"/>
    </row>
    <row r="18" spans="1:5" ht="12" customHeight="1" x14ac:dyDescent="0.15">
      <c r="A18" s="4"/>
      <c r="B18" s="5"/>
      <c r="D18" s="5"/>
      <c r="E18" s="5"/>
    </row>
    <row r="19" spans="1:5" ht="12" customHeight="1" x14ac:dyDescent="0.15">
      <c r="A19" s="5"/>
      <c r="B19" s="5"/>
      <c r="D19" s="5"/>
      <c r="E19" s="5"/>
    </row>
    <row r="20" spans="1:5" ht="12" customHeight="1" x14ac:dyDescent="0.15">
      <c r="A20" s="4"/>
      <c r="B20" s="5"/>
      <c r="C20" s="5"/>
      <c r="D20" s="5"/>
      <c r="E20" s="5"/>
    </row>
    <row r="21" spans="1:5" ht="12" customHeight="1" x14ac:dyDescent="0.15">
      <c r="A21" s="5"/>
      <c r="B21" s="5"/>
      <c r="C21" s="5"/>
      <c r="D21" s="5"/>
      <c r="E21" s="5"/>
    </row>
    <row r="22" spans="1:5" x14ac:dyDescent="0.15">
      <c r="A22" s="4"/>
      <c r="B22" s="5"/>
      <c r="C22" s="5"/>
      <c r="D22" s="5"/>
      <c r="E22" s="5"/>
    </row>
    <row r="23" spans="1:5" x14ac:dyDescent="0.15">
      <c r="A23" s="5"/>
      <c r="B23" s="5"/>
      <c r="C23" s="5"/>
      <c r="D23" s="5"/>
      <c r="E23" s="5"/>
    </row>
    <row r="24" spans="1:5" x14ac:dyDescent="0.15">
      <c r="A24" s="4"/>
      <c r="B24" s="5"/>
      <c r="C24" s="5"/>
      <c r="D24" s="5"/>
      <c r="E24" s="5"/>
    </row>
    <row r="25" spans="1:5" x14ac:dyDescent="0.15">
      <c r="A25" s="5"/>
      <c r="B25" s="5"/>
      <c r="C25" s="5"/>
      <c r="D25" s="5"/>
      <c r="E25" s="5"/>
    </row>
    <row r="26" spans="1:5" x14ac:dyDescent="0.15">
      <c r="A26" s="4"/>
      <c r="B26" s="5"/>
      <c r="C26" s="5"/>
      <c r="D26" s="5"/>
      <c r="E26" s="5"/>
    </row>
    <row r="27" spans="1:5" x14ac:dyDescent="0.15">
      <c r="A27" s="5"/>
      <c r="B27" s="5"/>
      <c r="C27" s="5"/>
      <c r="D27" s="5"/>
      <c r="E27" s="5"/>
    </row>
    <row r="28" spans="1:5" x14ac:dyDescent="0.15">
      <c r="A28" s="4"/>
      <c r="B28" s="5"/>
      <c r="C28" s="5"/>
      <c r="D28" s="5"/>
      <c r="E28" s="5"/>
    </row>
    <row r="29" spans="1:5" x14ac:dyDescent="0.15">
      <c r="A29" s="5"/>
      <c r="B29" s="5"/>
      <c r="C29" s="5"/>
      <c r="D29" s="5"/>
      <c r="E29" s="5"/>
    </row>
    <row r="30" spans="1:5" x14ac:dyDescent="0.15">
      <c r="A30" s="4"/>
      <c r="B30" s="5"/>
      <c r="C30" s="5"/>
      <c r="D30" s="5"/>
      <c r="E30" s="5"/>
    </row>
    <row r="31" spans="1:5" x14ac:dyDescent="0.15">
      <c r="A31" s="5"/>
      <c r="B31" s="5"/>
      <c r="C31" s="5"/>
      <c r="D31" s="5"/>
      <c r="E31" s="5"/>
    </row>
  </sheetData>
  <mergeCells count="61">
    <mergeCell ref="E26:E27"/>
    <mergeCell ref="B30:B31"/>
    <mergeCell ref="E8:E9"/>
    <mergeCell ref="B12:B13"/>
    <mergeCell ref="B18:B19"/>
    <mergeCell ref="C20:C21"/>
    <mergeCell ref="A16:A17"/>
    <mergeCell ref="A8:A9"/>
    <mergeCell ref="B8:B9"/>
    <mergeCell ref="C10:C11"/>
    <mergeCell ref="C16:C17"/>
    <mergeCell ref="D18:D19"/>
    <mergeCell ref="C8:C9"/>
    <mergeCell ref="A4:A5"/>
    <mergeCell ref="D8:D9"/>
    <mergeCell ref="A20:A21"/>
    <mergeCell ref="B20:B21"/>
    <mergeCell ref="E16:E17"/>
    <mergeCell ref="A10:A11"/>
    <mergeCell ref="D20:D21"/>
    <mergeCell ref="D14:D15"/>
    <mergeCell ref="E18:E19"/>
    <mergeCell ref="E12:E13"/>
    <mergeCell ref="A6:A7"/>
    <mergeCell ref="E10:E11"/>
    <mergeCell ref="B14:B15"/>
    <mergeCell ref="A12:A13"/>
    <mergeCell ref="C12:C13"/>
    <mergeCell ref="D16:D17"/>
    <mergeCell ref="D10:D11"/>
    <mergeCell ref="A28:A29"/>
    <mergeCell ref="D26:D27"/>
    <mergeCell ref="B22:B23"/>
    <mergeCell ref="C28:C29"/>
    <mergeCell ref="B16:B17"/>
    <mergeCell ref="C24:C25"/>
    <mergeCell ref="C26:C27"/>
    <mergeCell ref="C22:C23"/>
    <mergeCell ref="B26:B27"/>
    <mergeCell ref="A26:A27"/>
    <mergeCell ref="D12:D13"/>
    <mergeCell ref="B10:B11"/>
    <mergeCell ref="A18:A19"/>
    <mergeCell ref="B24:B25"/>
    <mergeCell ref="A14:A15"/>
    <mergeCell ref="E24:E25"/>
    <mergeCell ref="C14:C15"/>
    <mergeCell ref="A30:A31"/>
    <mergeCell ref="E14:E15"/>
    <mergeCell ref="D30:D31"/>
    <mergeCell ref="E20:E21"/>
    <mergeCell ref="D22:D23"/>
    <mergeCell ref="E22:E23"/>
    <mergeCell ref="C30:C31"/>
    <mergeCell ref="A24:A25"/>
    <mergeCell ref="E28:E29"/>
    <mergeCell ref="B28:B29"/>
    <mergeCell ref="D28:D29"/>
    <mergeCell ref="D24:D25"/>
    <mergeCell ref="E30:E31"/>
    <mergeCell ref="A22:A23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G14"/>
  <sheetViews>
    <sheetView showOutlineSymbols="0" showWhiteSpace="0" zoomScale="83" workbookViewId="0">
      <selection activeCell="C33" sqref="C33"/>
    </sheetView>
  </sheetViews>
  <sheetFormatPr baseColWidth="10" defaultColWidth="8.83203125" defaultRowHeight="14" x14ac:dyDescent="0.15"/>
  <cols>
    <col min="2" max="2" width="33.83203125" bestFit="1" customWidth="1"/>
    <col min="3" max="4" width="11.83203125" bestFit="1" customWidth="1"/>
    <col min="5" max="5" width="7.5" bestFit="1" customWidth="1"/>
    <col min="6" max="6" width="13" bestFit="1" customWidth="1"/>
    <col min="7" max="7" width="15.1640625" bestFit="1" customWidth="1"/>
    <col min="8" max="9" width="5.33203125" bestFit="1" customWidth="1"/>
    <col min="10" max="10" width="4.1640625" bestFit="1" customWidth="1"/>
    <col min="11" max="11" width="15.1640625" bestFit="1" customWidth="1"/>
    <col min="12" max="12" width="4.1640625" bestFit="1" customWidth="1"/>
    <col min="13" max="13" width="6.33203125" bestFit="1" customWidth="1"/>
    <col min="14" max="14" width="10.83203125" bestFit="1" customWidth="1"/>
    <col min="15" max="15" width="5.33203125" bestFit="1" customWidth="1"/>
    <col min="16" max="16" width="15.1640625" bestFit="1" customWidth="1"/>
    <col min="17" max="17" width="4.1640625" bestFit="1" customWidth="1"/>
    <col min="18" max="18" width="11.83203125" bestFit="1" customWidth="1"/>
    <col min="19" max="19" width="4.1640625" bestFit="1" customWidth="1"/>
    <col min="20" max="20" width="14.1640625" bestFit="1" customWidth="1"/>
    <col min="21" max="21" width="4.1640625" bestFit="1" customWidth="1"/>
    <col min="22" max="22" width="13" bestFit="1" customWidth="1"/>
    <col min="23" max="23" width="5.33203125" bestFit="1" customWidth="1"/>
    <col min="24" max="24" width="16.33203125" bestFit="1" customWidth="1"/>
    <col min="25" max="25" width="4.1640625" bestFit="1" customWidth="1"/>
    <col min="26" max="26" width="9.6640625" bestFit="1" customWidth="1"/>
    <col min="27" max="27" width="14.1640625" bestFit="1" customWidth="1"/>
    <col min="28" max="28" width="4.1640625" bestFit="1" customWidth="1"/>
    <col min="29" max="29" width="18.5" bestFit="1" customWidth="1"/>
    <col min="30" max="30" width="4.1640625" bestFit="1" customWidth="1"/>
    <col min="31" max="31" width="9.6640625" bestFit="1" customWidth="1"/>
    <col min="32" max="32" width="8.6640625" bestFit="1" customWidth="1"/>
  </cols>
  <sheetData>
    <row r="1" spans="1:85" ht="56" customHeight="1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7</v>
      </c>
      <c r="AW1" t="s">
        <v>183</v>
      </c>
      <c r="AX1" s="5" t="s">
        <v>184</v>
      </c>
      <c r="AY1" s="5"/>
      <c r="AZ1" t="s">
        <v>8</v>
      </c>
      <c r="BA1" t="s">
        <v>198</v>
      </c>
      <c r="BB1" s="5" t="s">
        <v>187</v>
      </c>
      <c r="BC1" s="5"/>
      <c r="BD1" s="5" t="s">
        <v>188</v>
      </c>
      <c r="BE1" s="5"/>
      <c r="BF1" s="5" t="s">
        <v>199</v>
      </c>
      <c r="BG1" s="5"/>
      <c r="BH1" t="s">
        <v>200</v>
      </c>
      <c r="BI1" t="s">
        <v>130</v>
      </c>
      <c r="BJ1" t="s">
        <v>201</v>
      </c>
      <c r="BK1" t="s">
        <v>202</v>
      </c>
      <c r="BL1" s="5" t="s">
        <v>185</v>
      </c>
      <c r="BM1" s="5"/>
      <c r="BN1" s="5" t="s">
        <v>186</v>
      </c>
      <c r="BO1" s="5"/>
      <c r="BP1" s="5" t="s">
        <v>203</v>
      </c>
      <c r="BQ1" s="5"/>
      <c r="BR1" s="5" t="s">
        <v>187</v>
      </c>
      <c r="BS1" s="5"/>
      <c r="BT1" t="s">
        <v>183</v>
      </c>
      <c r="BU1" t="s">
        <v>204</v>
      </c>
      <c r="BV1" t="s">
        <v>205</v>
      </c>
      <c r="BW1" s="5" t="s">
        <v>206</v>
      </c>
      <c r="BX1" s="5"/>
      <c r="BY1" s="5" t="s">
        <v>207</v>
      </c>
      <c r="BZ1" s="5"/>
      <c r="CA1" t="s">
        <v>208</v>
      </c>
      <c r="CB1" s="5" t="s">
        <v>209</v>
      </c>
      <c r="CC1" s="5"/>
      <c r="CD1" s="5" t="s">
        <v>210</v>
      </c>
      <c r="CE1" s="5"/>
    </row>
    <row r="2" spans="1:85" ht="12" customHeight="1" x14ac:dyDescent="0.15">
      <c r="A2" t="s">
        <v>90</v>
      </c>
      <c r="B2" t="s">
        <v>98</v>
      </c>
      <c r="C2" t="s">
        <v>32</v>
      </c>
      <c r="D2" t="s">
        <v>97</v>
      </c>
      <c r="E2" t="s">
        <v>211</v>
      </c>
      <c r="F2">
        <v>95</v>
      </c>
      <c r="G2">
        <v>68</v>
      </c>
      <c r="H2">
        <v>51</v>
      </c>
      <c r="I2">
        <v>0</v>
      </c>
      <c r="J2">
        <v>0</v>
      </c>
      <c r="K2">
        <v>1</v>
      </c>
      <c r="L2">
        <v>0</v>
      </c>
      <c r="M2">
        <v>0.34</v>
      </c>
      <c r="N2">
        <v>42</v>
      </c>
      <c r="O2">
        <v>38</v>
      </c>
      <c r="P2">
        <v>1</v>
      </c>
      <c r="Q2">
        <v>1</v>
      </c>
      <c r="R2">
        <v>0</v>
      </c>
      <c r="S2">
        <v>0</v>
      </c>
      <c r="T2">
        <v>2</v>
      </c>
      <c r="U2">
        <v>2</v>
      </c>
      <c r="V2">
        <v>18</v>
      </c>
      <c r="W2">
        <v>11</v>
      </c>
      <c r="X2">
        <v>6</v>
      </c>
      <c r="Y2">
        <v>5</v>
      </c>
      <c r="Z2">
        <v>3</v>
      </c>
      <c r="AA2">
        <v>8</v>
      </c>
      <c r="AB2">
        <v>5</v>
      </c>
      <c r="AC2">
        <v>13</v>
      </c>
      <c r="AD2">
        <v>1</v>
      </c>
      <c r="AE2">
        <v>0</v>
      </c>
      <c r="AF2">
        <v>0</v>
      </c>
      <c r="AG2">
        <v>4</v>
      </c>
      <c r="AH2">
        <v>2</v>
      </c>
      <c r="AI2">
        <v>6</v>
      </c>
      <c r="AJ2">
        <v>5</v>
      </c>
      <c r="AK2">
        <v>2</v>
      </c>
      <c r="AL2">
        <v>1</v>
      </c>
      <c r="AM2">
        <v>0</v>
      </c>
      <c r="AN2">
        <v>0</v>
      </c>
      <c r="AO2">
        <v>3</v>
      </c>
      <c r="AP2">
        <v>8</v>
      </c>
      <c r="AQ2">
        <v>5</v>
      </c>
      <c r="AR2">
        <v>13</v>
      </c>
      <c r="AS2">
        <v>1</v>
      </c>
      <c r="AT2">
        <v>1</v>
      </c>
      <c r="AU2">
        <v>2</v>
      </c>
      <c r="AV2">
        <v>0</v>
      </c>
      <c r="AW2">
        <v>0</v>
      </c>
      <c r="AX2">
        <v>1</v>
      </c>
      <c r="AY2">
        <v>0</v>
      </c>
      <c r="AZ2">
        <v>0.34</v>
      </c>
      <c r="BA2">
        <v>0</v>
      </c>
      <c r="BB2">
        <v>0</v>
      </c>
      <c r="BC2">
        <v>0</v>
      </c>
      <c r="BD2">
        <v>2</v>
      </c>
      <c r="BE2">
        <v>2</v>
      </c>
      <c r="BF2">
        <v>6</v>
      </c>
      <c r="BG2">
        <v>3</v>
      </c>
      <c r="BH2">
        <v>2</v>
      </c>
      <c r="BI2">
        <v>0</v>
      </c>
      <c r="BJ2">
        <v>0</v>
      </c>
      <c r="BK2">
        <v>1</v>
      </c>
      <c r="BL2">
        <v>42</v>
      </c>
      <c r="BM2">
        <v>38</v>
      </c>
      <c r="BN2">
        <v>1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23</v>
      </c>
      <c r="CB2">
        <v>11</v>
      </c>
      <c r="CC2">
        <v>9</v>
      </c>
      <c r="CD2">
        <v>5</v>
      </c>
      <c r="CE2">
        <v>5</v>
      </c>
    </row>
    <row r="3" spans="1:85" ht="12" customHeight="1" x14ac:dyDescent="0.15">
      <c r="A3" t="s">
        <v>77</v>
      </c>
      <c r="B3" t="s">
        <v>79</v>
      </c>
      <c r="C3" t="s">
        <v>32</v>
      </c>
      <c r="D3" t="s">
        <v>30</v>
      </c>
      <c r="E3">
        <v>0</v>
      </c>
      <c r="F3">
        <v>4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3</v>
      </c>
      <c r="BM3">
        <v>3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3</v>
      </c>
      <c r="CB3">
        <v>2</v>
      </c>
      <c r="CC3">
        <v>2</v>
      </c>
      <c r="CD3">
        <v>0</v>
      </c>
      <c r="CE3">
        <v>0</v>
      </c>
    </row>
    <row r="4" spans="1:85" ht="12" customHeight="1" x14ac:dyDescent="0.15">
      <c r="A4" t="s">
        <v>80</v>
      </c>
      <c r="B4" t="s">
        <v>82</v>
      </c>
      <c r="C4" t="s">
        <v>32</v>
      </c>
      <c r="D4" t="s">
        <v>37</v>
      </c>
      <c r="E4" t="s">
        <v>212</v>
      </c>
      <c r="F4">
        <v>24</v>
      </c>
      <c r="G4">
        <v>8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  <c r="O4">
        <v>4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</v>
      </c>
      <c r="W4">
        <v>2</v>
      </c>
      <c r="X4">
        <v>2</v>
      </c>
      <c r="Y4">
        <v>1</v>
      </c>
      <c r="Z4">
        <v>0</v>
      </c>
      <c r="AA4">
        <v>0</v>
      </c>
      <c r="AB4">
        <v>0</v>
      </c>
      <c r="AC4">
        <v>3</v>
      </c>
      <c r="AD4">
        <v>1</v>
      </c>
      <c r="AE4">
        <v>0</v>
      </c>
      <c r="AF4">
        <v>0</v>
      </c>
      <c r="AG4">
        <v>1</v>
      </c>
      <c r="AH4">
        <v>1</v>
      </c>
      <c r="AI4">
        <v>2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4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2</v>
      </c>
      <c r="CB4">
        <v>2</v>
      </c>
      <c r="CC4">
        <v>2</v>
      </c>
      <c r="CD4">
        <v>2</v>
      </c>
      <c r="CE4">
        <v>2</v>
      </c>
    </row>
    <row r="5" spans="1:85" ht="12" customHeight="1" x14ac:dyDescent="0.15">
      <c r="A5" t="s">
        <v>86</v>
      </c>
      <c r="B5" t="s">
        <v>88</v>
      </c>
      <c r="C5" t="s">
        <v>32</v>
      </c>
      <c r="D5" t="s">
        <v>43</v>
      </c>
      <c r="E5" t="s">
        <v>211</v>
      </c>
      <c r="F5">
        <v>100</v>
      </c>
      <c r="G5">
        <v>43</v>
      </c>
      <c r="H5">
        <v>33</v>
      </c>
      <c r="I5">
        <v>0</v>
      </c>
      <c r="J5">
        <v>0</v>
      </c>
      <c r="K5">
        <v>0</v>
      </c>
      <c r="L5">
        <v>0</v>
      </c>
      <c r="M5">
        <v>0</v>
      </c>
      <c r="N5">
        <v>22</v>
      </c>
      <c r="O5">
        <v>19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17</v>
      </c>
      <c r="W5">
        <v>13</v>
      </c>
      <c r="X5">
        <v>8</v>
      </c>
      <c r="Y5">
        <v>6</v>
      </c>
      <c r="Z5">
        <v>3</v>
      </c>
      <c r="AA5">
        <v>13</v>
      </c>
      <c r="AB5">
        <v>4</v>
      </c>
      <c r="AC5">
        <v>16</v>
      </c>
      <c r="AD5">
        <v>3</v>
      </c>
      <c r="AE5">
        <v>0</v>
      </c>
      <c r="AF5">
        <v>0</v>
      </c>
      <c r="AG5">
        <v>7</v>
      </c>
      <c r="AH5">
        <v>5</v>
      </c>
      <c r="AI5">
        <v>8</v>
      </c>
      <c r="AJ5">
        <v>6</v>
      </c>
      <c r="AK5">
        <v>1</v>
      </c>
      <c r="AL5">
        <v>1</v>
      </c>
      <c r="AM5">
        <v>0</v>
      </c>
      <c r="AN5">
        <v>0</v>
      </c>
      <c r="AO5">
        <v>3</v>
      </c>
      <c r="AP5">
        <v>13</v>
      </c>
      <c r="AQ5">
        <v>4</v>
      </c>
      <c r="AR5">
        <v>16</v>
      </c>
      <c r="AS5">
        <v>3</v>
      </c>
      <c r="AT5">
        <v>2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1</v>
      </c>
      <c r="BK5">
        <v>1</v>
      </c>
      <c r="BL5">
        <v>22</v>
      </c>
      <c r="BM5">
        <v>19</v>
      </c>
      <c r="BN5">
        <v>2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12</v>
      </c>
      <c r="CB5">
        <v>10</v>
      </c>
      <c r="CC5">
        <v>7</v>
      </c>
      <c r="CD5">
        <v>4</v>
      </c>
      <c r="CE5">
        <v>4</v>
      </c>
    </row>
    <row r="6" spans="1:85" ht="12" customHeight="1" x14ac:dyDescent="0.15">
      <c r="A6" t="s">
        <v>29</v>
      </c>
      <c r="B6" t="s">
        <v>31</v>
      </c>
      <c r="C6" t="s">
        <v>32</v>
      </c>
      <c r="D6" t="s">
        <v>47</v>
      </c>
      <c r="E6" t="s">
        <v>211</v>
      </c>
      <c r="F6">
        <v>95</v>
      </c>
      <c r="G6">
        <v>83</v>
      </c>
      <c r="H6">
        <v>76</v>
      </c>
      <c r="I6">
        <v>0</v>
      </c>
      <c r="J6">
        <v>0</v>
      </c>
      <c r="K6">
        <v>0</v>
      </c>
      <c r="L6">
        <v>0</v>
      </c>
      <c r="M6">
        <v>0</v>
      </c>
      <c r="N6">
        <v>67</v>
      </c>
      <c r="O6">
        <v>66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9</v>
      </c>
      <c r="W6">
        <v>7</v>
      </c>
      <c r="X6">
        <v>6</v>
      </c>
      <c r="Y6">
        <v>5</v>
      </c>
      <c r="Z6">
        <v>6</v>
      </c>
      <c r="AA6">
        <v>6</v>
      </c>
      <c r="AB6">
        <v>3</v>
      </c>
      <c r="AC6">
        <v>16</v>
      </c>
      <c r="AD6">
        <v>3</v>
      </c>
      <c r="AE6">
        <v>0</v>
      </c>
      <c r="AF6">
        <v>0</v>
      </c>
      <c r="AG6">
        <v>0</v>
      </c>
      <c r="AH6">
        <v>0</v>
      </c>
      <c r="AI6">
        <v>6</v>
      </c>
      <c r="AJ6">
        <v>5</v>
      </c>
      <c r="AK6">
        <v>3</v>
      </c>
      <c r="AL6">
        <v>2</v>
      </c>
      <c r="AM6">
        <v>0</v>
      </c>
      <c r="AN6">
        <v>0</v>
      </c>
      <c r="AO6">
        <v>6</v>
      </c>
      <c r="AP6">
        <v>6</v>
      </c>
      <c r="AQ6">
        <v>3</v>
      </c>
      <c r="AR6">
        <v>16</v>
      </c>
      <c r="AS6">
        <v>3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4</v>
      </c>
      <c r="BK6">
        <v>0</v>
      </c>
      <c r="BL6">
        <v>67</v>
      </c>
      <c r="BM6">
        <v>66</v>
      </c>
      <c r="BN6">
        <v>1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3</v>
      </c>
      <c r="BY6">
        <v>0</v>
      </c>
      <c r="BZ6">
        <v>0</v>
      </c>
      <c r="CA6">
        <v>52</v>
      </c>
      <c r="CB6">
        <v>24</v>
      </c>
      <c r="CC6">
        <v>23</v>
      </c>
      <c r="CD6">
        <v>4</v>
      </c>
      <c r="CE6">
        <v>4</v>
      </c>
    </row>
    <row r="7" spans="1:85" ht="12" customHeight="1" x14ac:dyDescent="0.15">
      <c r="A7" t="s">
        <v>36</v>
      </c>
      <c r="B7" t="s">
        <v>38</v>
      </c>
      <c r="C7" t="s">
        <v>32</v>
      </c>
      <c r="D7" t="s">
        <v>53</v>
      </c>
      <c r="E7" t="s">
        <v>211</v>
      </c>
      <c r="F7">
        <v>96</v>
      </c>
      <c r="G7">
        <v>57</v>
      </c>
      <c r="H7">
        <v>33</v>
      </c>
      <c r="I7">
        <v>0</v>
      </c>
      <c r="J7">
        <v>0</v>
      </c>
      <c r="K7">
        <v>0</v>
      </c>
      <c r="L7">
        <v>0</v>
      </c>
      <c r="M7">
        <v>0</v>
      </c>
      <c r="N7">
        <v>20</v>
      </c>
      <c r="O7">
        <v>15</v>
      </c>
      <c r="P7">
        <v>5</v>
      </c>
      <c r="Q7">
        <v>2</v>
      </c>
      <c r="R7">
        <v>0</v>
      </c>
      <c r="S7">
        <v>0</v>
      </c>
      <c r="T7">
        <v>0</v>
      </c>
      <c r="U7">
        <v>0</v>
      </c>
      <c r="V7">
        <v>27</v>
      </c>
      <c r="W7">
        <v>16</v>
      </c>
      <c r="X7">
        <v>9</v>
      </c>
      <c r="Y7">
        <v>7</v>
      </c>
      <c r="Z7">
        <v>7</v>
      </c>
      <c r="AA7">
        <v>11</v>
      </c>
      <c r="AB7">
        <v>3</v>
      </c>
      <c r="AC7">
        <v>21</v>
      </c>
      <c r="AD7">
        <v>2</v>
      </c>
      <c r="AE7">
        <v>0</v>
      </c>
      <c r="AF7">
        <v>0</v>
      </c>
      <c r="AG7">
        <v>7</v>
      </c>
      <c r="AH7">
        <v>5</v>
      </c>
      <c r="AI7">
        <v>9</v>
      </c>
      <c r="AJ7">
        <v>7</v>
      </c>
      <c r="AK7">
        <v>9</v>
      </c>
      <c r="AL7">
        <v>3</v>
      </c>
      <c r="AM7">
        <v>0</v>
      </c>
      <c r="AN7">
        <v>0</v>
      </c>
      <c r="AO7">
        <v>7</v>
      </c>
      <c r="AP7">
        <v>11</v>
      </c>
      <c r="AQ7">
        <v>3</v>
      </c>
      <c r="AR7">
        <v>21</v>
      </c>
      <c r="AS7">
        <v>2</v>
      </c>
      <c r="AT7">
        <v>6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</v>
      </c>
      <c r="BG7">
        <v>1</v>
      </c>
      <c r="BH7">
        <v>0</v>
      </c>
      <c r="BI7">
        <v>0</v>
      </c>
      <c r="BJ7">
        <v>0</v>
      </c>
      <c r="BK7">
        <v>2</v>
      </c>
      <c r="BL7">
        <v>20</v>
      </c>
      <c r="BM7">
        <v>15</v>
      </c>
      <c r="BN7">
        <v>5</v>
      </c>
      <c r="BO7">
        <v>2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1</v>
      </c>
      <c r="BY7">
        <v>0</v>
      </c>
      <c r="BZ7">
        <v>0</v>
      </c>
      <c r="CA7">
        <v>5</v>
      </c>
      <c r="CB7">
        <v>9</v>
      </c>
      <c r="CC7">
        <v>5</v>
      </c>
      <c r="CD7">
        <v>0</v>
      </c>
      <c r="CE7">
        <v>0</v>
      </c>
    </row>
    <row r="8" spans="1:85" ht="12" customHeight="1" x14ac:dyDescent="0.15">
      <c r="A8" t="s">
        <v>42</v>
      </c>
      <c r="B8" t="s">
        <v>44</v>
      </c>
      <c r="C8" t="s">
        <v>32</v>
      </c>
      <c r="D8" t="s">
        <v>59</v>
      </c>
      <c r="E8" t="s">
        <v>211</v>
      </c>
      <c r="F8">
        <v>101</v>
      </c>
      <c r="G8">
        <v>72</v>
      </c>
      <c r="H8">
        <v>64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48</v>
      </c>
      <c r="P8">
        <v>3</v>
      </c>
      <c r="Q8">
        <v>3</v>
      </c>
      <c r="R8">
        <v>0</v>
      </c>
      <c r="S8">
        <v>0</v>
      </c>
      <c r="T8">
        <v>2</v>
      </c>
      <c r="U8">
        <v>2</v>
      </c>
      <c r="V8">
        <v>19</v>
      </c>
      <c r="W8">
        <v>16</v>
      </c>
      <c r="X8">
        <v>4</v>
      </c>
      <c r="Y8">
        <v>3</v>
      </c>
      <c r="Z8">
        <v>5</v>
      </c>
      <c r="AA8">
        <v>1</v>
      </c>
      <c r="AB8">
        <v>0</v>
      </c>
      <c r="AC8">
        <v>18</v>
      </c>
      <c r="AD8">
        <v>5</v>
      </c>
      <c r="AE8">
        <v>0</v>
      </c>
      <c r="AF8">
        <v>0</v>
      </c>
      <c r="AG8">
        <v>9</v>
      </c>
      <c r="AH8">
        <v>8</v>
      </c>
      <c r="AI8">
        <v>4</v>
      </c>
      <c r="AJ8">
        <v>3</v>
      </c>
      <c r="AK8">
        <v>1</v>
      </c>
      <c r="AL8">
        <v>1</v>
      </c>
      <c r="AM8">
        <v>1</v>
      </c>
      <c r="AN8">
        <v>1</v>
      </c>
      <c r="AO8">
        <v>5</v>
      </c>
      <c r="AP8">
        <v>1</v>
      </c>
      <c r="AQ8">
        <v>0</v>
      </c>
      <c r="AR8">
        <v>18</v>
      </c>
      <c r="AS8">
        <v>5</v>
      </c>
      <c r="AT8">
        <v>1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2</v>
      </c>
      <c r="BF8">
        <v>5</v>
      </c>
      <c r="BG8">
        <v>4</v>
      </c>
      <c r="BH8">
        <v>0</v>
      </c>
      <c r="BI8">
        <v>0</v>
      </c>
      <c r="BJ8">
        <v>1</v>
      </c>
      <c r="BK8">
        <v>1</v>
      </c>
      <c r="BL8">
        <v>51</v>
      </c>
      <c r="BM8">
        <v>48</v>
      </c>
      <c r="BN8">
        <v>3</v>
      </c>
      <c r="BO8">
        <v>3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4</v>
      </c>
      <c r="BY8">
        <v>0</v>
      </c>
      <c r="BZ8">
        <v>0</v>
      </c>
      <c r="CA8">
        <v>30</v>
      </c>
      <c r="CB8">
        <v>19</v>
      </c>
      <c r="CC8">
        <v>18</v>
      </c>
      <c r="CD8">
        <v>4</v>
      </c>
      <c r="CE8">
        <v>4</v>
      </c>
    </row>
    <row r="9" spans="1:85" ht="12" customHeight="1" x14ac:dyDescent="0.15">
      <c r="A9" t="s">
        <v>46</v>
      </c>
      <c r="B9" t="s">
        <v>48</v>
      </c>
      <c r="C9" t="s">
        <v>32</v>
      </c>
      <c r="D9" t="s">
        <v>65</v>
      </c>
      <c r="E9" t="s">
        <v>211</v>
      </c>
      <c r="F9">
        <v>97</v>
      </c>
      <c r="G9">
        <v>49</v>
      </c>
      <c r="H9">
        <v>24</v>
      </c>
      <c r="I9">
        <v>2</v>
      </c>
      <c r="J9">
        <v>0</v>
      </c>
      <c r="K9">
        <v>2</v>
      </c>
      <c r="L9">
        <v>2</v>
      </c>
      <c r="M9">
        <v>1.38</v>
      </c>
      <c r="N9">
        <v>22</v>
      </c>
      <c r="O9">
        <v>16</v>
      </c>
      <c r="P9">
        <v>4</v>
      </c>
      <c r="Q9">
        <v>2</v>
      </c>
      <c r="R9">
        <v>0</v>
      </c>
      <c r="S9">
        <v>0</v>
      </c>
      <c r="T9">
        <v>0</v>
      </c>
      <c r="U9">
        <v>0</v>
      </c>
      <c r="V9">
        <v>15</v>
      </c>
      <c r="W9">
        <v>4</v>
      </c>
      <c r="X9">
        <v>2</v>
      </c>
      <c r="Y9">
        <v>1</v>
      </c>
      <c r="Z9">
        <v>5</v>
      </c>
      <c r="AA9">
        <v>14</v>
      </c>
      <c r="AB9">
        <v>8</v>
      </c>
      <c r="AC9">
        <v>9</v>
      </c>
      <c r="AD9">
        <v>2</v>
      </c>
      <c r="AE9">
        <v>0</v>
      </c>
      <c r="AF9">
        <v>0</v>
      </c>
      <c r="AG9">
        <v>6</v>
      </c>
      <c r="AH9">
        <v>2</v>
      </c>
      <c r="AI9">
        <v>2</v>
      </c>
      <c r="AJ9">
        <v>1</v>
      </c>
      <c r="AK9">
        <v>5</v>
      </c>
      <c r="AL9">
        <v>1</v>
      </c>
      <c r="AM9">
        <v>0</v>
      </c>
      <c r="AN9">
        <v>0</v>
      </c>
      <c r="AO9">
        <v>5</v>
      </c>
      <c r="AP9">
        <v>14</v>
      </c>
      <c r="AQ9">
        <v>8</v>
      </c>
      <c r="AR9">
        <v>9</v>
      </c>
      <c r="AS9">
        <v>2</v>
      </c>
      <c r="AT9">
        <v>6</v>
      </c>
      <c r="AU9">
        <v>2</v>
      </c>
      <c r="AV9">
        <v>2</v>
      </c>
      <c r="AW9">
        <v>0</v>
      </c>
      <c r="AX9">
        <v>2</v>
      </c>
      <c r="AY9">
        <v>2</v>
      </c>
      <c r="AZ9">
        <v>1.38</v>
      </c>
      <c r="BA9">
        <v>0</v>
      </c>
      <c r="BB9">
        <v>0</v>
      </c>
      <c r="BC9">
        <v>0</v>
      </c>
      <c r="BD9">
        <v>0</v>
      </c>
      <c r="BE9">
        <v>0</v>
      </c>
      <c r="BF9">
        <v>2</v>
      </c>
      <c r="BG9">
        <v>0</v>
      </c>
      <c r="BH9">
        <v>2</v>
      </c>
      <c r="BI9">
        <v>0</v>
      </c>
      <c r="BJ9">
        <v>0</v>
      </c>
      <c r="BK9">
        <v>0</v>
      </c>
      <c r="BL9">
        <v>22</v>
      </c>
      <c r="BM9">
        <v>16</v>
      </c>
      <c r="BN9">
        <v>4</v>
      </c>
      <c r="BO9">
        <v>2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1</v>
      </c>
      <c r="BW9">
        <v>4</v>
      </c>
      <c r="BX9">
        <v>3</v>
      </c>
      <c r="BY9">
        <v>0</v>
      </c>
      <c r="BZ9">
        <v>0</v>
      </c>
      <c r="CA9">
        <v>11</v>
      </c>
      <c r="CB9">
        <v>13</v>
      </c>
      <c r="CC9">
        <v>8</v>
      </c>
      <c r="CD9">
        <v>2</v>
      </c>
      <c r="CE9">
        <v>2</v>
      </c>
    </row>
    <row r="10" spans="1:85" ht="12" customHeight="1" x14ac:dyDescent="0.15">
      <c r="A10" t="s">
        <v>58</v>
      </c>
      <c r="B10" t="s">
        <v>60</v>
      </c>
      <c r="C10" t="s">
        <v>32</v>
      </c>
      <c r="D10" t="s">
        <v>74</v>
      </c>
      <c r="E10" t="s">
        <v>212</v>
      </c>
      <c r="F10">
        <v>9</v>
      </c>
      <c r="G10">
        <v>4</v>
      </c>
      <c r="H10">
        <v>3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</v>
      </c>
      <c r="W10">
        <v>3</v>
      </c>
      <c r="X10">
        <v>2</v>
      </c>
      <c r="Y10">
        <v>1</v>
      </c>
      <c r="Z10">
        <v>0</v>
      </c>
      <c r="AA10">
        <v>1</v>
      </c>
      <c r="AB10">
        <v>1</v>
      </c>
      <c r="AC10">
        <v>2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2</v>
      </c>
      <c r="AJ10">
        <v>1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1</v>
      </c>
      <c r="AR10">
        <v>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5" ht="12" customHeight="1" x14ac:dyDescent="0.15">
      <c r="A11" t="s">
        <v>69</v>
      </c>
      <c r="B11" t="s">
        <v>71</v>
      </c>
      <c r="C11" t="s">
        <v>32</v>
      </c>
      <c r="D11" t="s">
        <v>81</v>
      </c>
      <c r="E11" t="s">
        <v>211</v>
      </c>
      <c r="F11">
        <v>47</v>
      </c>
      <c r="G11">
        <v>50</v>
      </c>
      <c r="H11">
        <v>42</v>
      </c>
      <c r="I11">
        <v>0</v>
      </c>
      <c r="J11">
        <v>0</v>
      </c>
      <c r="K11">
        <v>0</v>
      </c>
      <c r="L11">
        <v>0</v>
      </c>
      <c r="M11">
        <v>0</v>
      </c>
      <c r="N11">
        <v>37</v>
      </c>
      <c r="O11">
        <v>36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4</v>
      </c>
      <c r="X11">
        <v>2</v>
      </c>
      <c r="Y11">
        <v>0</v>
      </c>
      <c r="Z11">
        <v>2</v>
      </c>
      <c r="AA11">
        <v>2</v>
      </c>
      <c r="AB11">
        <v>1</v>
      </c>
      <c r="AC11">
        <v>11</v>
      </c>
      <c r="AD11">
        <v>3</v>
      </c>
      <c r="AE11">
        <v>0</v>
      </c>
      <c r="AF11">
        <v>0</v>
      </c>
      <c r="AG11">
        <v>3</v>
      </c>
      <c r="AH11">
        <v>2</v>
      </c>
      <c r="AI11">
        <v>2</v>
      </c>
      <c r="AJ11">
        <v>0</v>
      </c>
      <c r="AK11">
        <v>2</v>
      </c>
      <c r="AL11">
        <v>2</v>
      </c>
      <c r="AM11">
        <v>0</v>
      </c>
      <c r="AN11">
        <v>0</v>
      </c>
      <c r="AO11">
        <v>2</v>
      </c>
      <c r="AP11">
        <v>2</v>
      </c>
      <c r="AQ11">
        <v>1</v>
      </c>
      <c r="AR11">
        <v>11</v>
      </c>
      <c r="AS11">
        <v>3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</v>
      </c>
      <c r="BL11">
        <v>37</v>
      </c>
      <c r="BM11">
        <v>36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19</v>
      </c>
      <c r="CB11">
        <v>15</v>
      </c>
      <c r="CC11">
        <v>14</v>
      </c>
      <c r="CD11">
        <v>2</v>
      </c>
      <c r="CE11">
        <v>2</v>
      </c>
    </row>
    <row r="12" spans="1:85" ht="12" customHeight="1" x14ac:dyDescent="0.15">
      <c r="A12" t="s">
        <v>73</v>
      </c>
      <c r="B12" t="s">
        <v>75</v>
      </c>
      <c r="C12" t="s">
        <v>32</v>
      </c>
      <c r="D12" t="s">
        <v>87</v>
      </c>
      <c r="E12" t="s">
        <v>211</v>
      </c>
      <c r="F12">
        <v>94</v>
      </c>
      <c r="G12">
        <v>61</v>
      </c>
      <c r="H12">
        <v>49</v>
      </c>
      <c r="I12">
        <v>0</v>
      </c>
      <c r="J12">
        <v>0</v>
      </c>
      <c r="K12">
        <v>0</v>
      </c>
      <c r="L12">
        <v>0</v>
      </c>
      <c r="M12">
        <v>0</v>
      </c>
      <c r="N12">
        <v>43</v>
      </c>
      <c r="O12">
        <v>38</v>
      </c>
      <c r="P12">
        <v>5</v>
      </c>
      <c r="Q12">
        <v>4</v>
      </c>
      <c r="R12">
        <v>0</v>
      </c>
      <c r="S12">
        <v>0</v>
      </c>
      <c r="T12">
        <v>0</v>
      </c>
      <c r="U12">
        <v>0</v>
      </c>
      <c r="V12">
        <v>15</v>
      </c>
      <c r="W12">
        <v>9</v>
      </c>
      <c r="X12">
        <v>6</v>
      </c>
      <c r="Y12">
        <v>3</v>
      </c>
      <c r="Z12">
        <v>2</v>
      </c>
      <c r="AA12">
        <v>7</v>
      </c>
      <c r="AB12">
        <v>3</v>
      </c>
      <c r="AC12">
        <v>8</v>
      </c>
      <c r="AD12">
        <v>2</v>
      </c>
      <c r="AE12">
        <v>0</v>
      </c>
      <c r="AF12">
        <v>0</v>
      </c>
      <c r="AG12">
        <v>6</v>
      </c>
      <c r="AH12">
        <v>5</v>
      </c>
      <c r="AI12">
        <v>6</v>
      </c>
      <c r="AJ12">
        <v>3</v>
      </c>
      <c r="AK12">
        <v>2</v>
      </c>
      <c r="AL12">
        <v>0</v>
      </c>
      <c r="AM12">
        <v>0</v>
      </c>
      <c r="AN12">
        <v>0</v>
      </c>
      <c r="AO12">
        <v>2</v>
      </c>
      <c r="AP12">
        <v>7</v>
      </c>
      <c r="AQ12">
        <v>3</v>
      </c>
      <c r="AR12">
        <v>8</v>
      </c>
      <c r="AS12">
        <v>2</v>
      </c>
      <c r="AT12">
        <v>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1</v>
      </c>
      <c r="BL12">
        <v>43</v>
      </c>
      <c r="BM12">
        <v>38</v>
      </c>
      <c r="BN12">
        <v>5</v>
      </c>
      <c r="BO12">
        <v>4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6</v>
      </c>
      <c r="BX12">
        <v>4</v>
      </c>
      <c r="BY12">
        <v>0</v>
      </c>
      <c r="BZ12">
        <v>0</v>
      </c>
      <c r="CA12">
        <v>32</v>
      </c>
      <c r="CB12">
        <v>16</v>
      </c>
      <c r="CC12">
        <v>13</v>
      </c>
      <c r="CD12">
        <v>1</v>
      </c>
      <c r="CE12">
        <v>0</v>
      </c>
    </row>
    <row r="13" spans="1:85" x14ac:dyDescent="0.15">
      <c r="A13" t="s">
        <v>103</v>
      </c>
      <c r="B13" t="s">
        <v>105</v>
      </c>
      <c r="C13" t="s">
        <v>106</v>
      </c>
      <c r="D13" t="s">
        <v>104</v>
      </c>
      <c r="E13" t="s">
        <v>213</v>
      </c>
      <c r="F13">
        <v>102</v>
      </c>
      <c r="G13">
        <v>76</v>
      </c>
      <c r="H13">
        <v>66</v>
      </c>
      <c r="I13">
        <v>0</v>
      </c>
      <c r="J13">
        <v>0</v>
      </c>
      <c r="K13">
        <v>1</v>
      </c>
      <c r="L13">
        <v>1</v>
      </c>
      <c r="M13">
        <v>0.09</v>
      </c>
      <c r="N13">
        <v>62</v>
      </c>
      <c r="O13">
        <v>57</v>
      </c>
      <c r="P13">
        <v>4</v>
      </c>
      <c r="Q13">
        <v>3</v>
      </c>
      <c r="R13">
        <v>0</v>
      </c>
      <c r="S13">
        <v>0</v>
      </c>
      <c r="T13">
        <v>0</v>
      </c>
      <c r="U13">
        <v>0</v>
      </c>
      <c r="V13">
        <v>4</v>
      </c>
      <c r="W13">
        <v>4</v>
      </c>
      <c r="X13">
        <v>1</v>
      </c>
      <c r="Y13">
        <v>1</v>
      </c>
      <c r="Z13">
        <v>6</v>
      </c>
      <c r="AA13">
        <v>10</v>
      </c>
      <c r="AB13">
        <v>4</v>
      </c>
      <c r="AC13">
        <v>9</v>
      </c>
      <c r="AD13">
        <v>0</v>
      </c>
      <c r="AE13">
        <v>0</v>
      </c>
      <c r="AF13">
        <v>0</v>
      </c>
      <c r="AG13">
        <v>2</v>
      </c>
      <c r="AH13">
        <v>2</v>
      </c>
      <c r="AI13">
        <v>1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6</v>
      </c>
      <c r="AP13">
        <v>10</v>
      </c>
      <c r="AQ13">
        <v>4</v>
      </c>
      <c r="AR13">
        <v>9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0.09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1</v>
      </c>
      <c r="BN13">
        <v>62</v>
      </c>
      <c r="BO13">
        <v>57</v>
      </c>
      <c r="BP13">
        <v>4</v>
      </c>
      <c r="BQ13">
        <v>3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11</v>
      </c>
      <c r="BZ13">
        <v>11</v>
      </c>
      <c r="CA13">
        <v>0</v>
      </c>
      <c r="CB13">
        <v>0</v>
      </c>
      <c r="CC13">
        <v>50</v>
      </c>
      <c r="CD13">
        <v>33</v>
      </c>
      <c r="CE13">
        <v>30</v>
      </c>
      <c r="CF13">
        <v>0</v>
      </c>
      <c r="CG13">
        <v>0</v>
      </c>
    </row>
    <row r="14" spans="1:85" x14ac:dyDescent="0.15">
      <c r="A14" t="s">
        <v>214</v>
      </c>
      <c r="B14" t="s">
        <v>215</v>
      </c>
      <c r="C14" t="s">
        <v>106</v>
      </c>
      <c r="D14" t="s">
        <v>216</v>
      </c>
      <c r="E14" t="s">
        <v>213</v>
      </c>
      <c r="F14">
        <v>106</v>
      </c>
      <c r="G14">
        <v>26</v>
      </c>
      <c r="H14">
        <v>12</v>
      </c>
      <c r="I14">
        <v>0</v>
      </c>
      <c r="J14">
        <v>0</v>
      </c>
      <c r="K14">
        <v>0</v>
      </c>
      <c r="L14">
        <v>0</v>
      </c>
      <c r="M14">
        <v>0</v>
      </c>
      <c r="N14">
        <v>9</v>
      </c>
      <c r="O14">
        <v>8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5</v>
      </c>
      <c r="W14">
        <v>3</v>
      </c>
      <c r="X14">
        <v>2</v>
      </c>
      <c r="Y14">
        <v>1</v>
      </c>
      <c r="Z14">
        <v>8</v>
      </c>
      <c r="AA14">
        <v>6</v>
      </c>
      <c r="AB14">
        <v>2</v>
      </c>
      <c r="AC14">
        <v>4</v>
      </c>
      <c r="AD14">
        <v>1</v>
      </c>
      <c r="AE14">
        <v>1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0</v>
      </c>
      <c r="AL14">
        <v>0</v>
      </c>
      <c r="AM14">
        <v>1</v>
      </c>
      <c r="AN14">
        <v>1</v>
      </c>
      <c r="AO14">
        <v>8</v>
      </c>
      <c r="AP14">
        <v>6</v>
      </c>
      <c r="AQ14">
        <v>2</v>
      </c>
      <c r="AR14">
        <v>4</v>
      </c>
      <c r="AS14">
        <v>1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9</v>
      </c>
      <c r="BO14">
        <v>8</v>
      </c>
      <c r="BP14">
        <v>1</v>
      </c>
      <c r="BQ14">
        <v>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15</v>
      </c>
      <c r="CD14">
        <v>3</v>
      </c>
      <c r="CE14">
        <v>3</v>
      </c>
      <c r="CF14">
        <v>0</v>
      </c>
      <c r="CG14">
        <v>0</v>
      </c>
    </row>
  </sheetData>
  <mergeCells count="28">
    <mergeCell ref="BL1:BM1"/>
    <mergeCell ref="BR1:BS1"/>
    <mergeCell ref="CD1:CE1"/>
    <mergeCell ref="V1:W1"/>
    <mergeCell ref="BW1:BX1"/>
    <mergeCell ref="BN1:BO1"/>
    <mergeCell ref="BP1:BQ1"/>
    <mergeCell ref="BY1:BZ1"/>
    <mergeCell ref="AX1:AY1"/>
    <mergeCell ref="AG1:AH1"/>
    <mergeCell ref="AI1:AJ1"/>
    <mergeCell ref="AA1:AB1"/>
    <mergeCell ref="G1:H1"/>
    <mergeCell ref="AR1:AS1"/>
    <mergeCell ref="CB1:CC1"/>
    <mergeCell ref="R1:S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X1:Y1"/>
    <mergeCell ref="P1:Q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G13"/>
  <sheetViews>
    <sheetView zoomScale="69" workbookViewId="0">
      <selection activeCell="B13" sqref="B13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217</v>
      </c>
      <c r="F2">
        <v>93</v>
      </c>
      <c r="G2">
        <v>61</v>
      </c>
      <c r="H2">
        <v>45</v>
      </c>
      <c r="I2">
        <v>0</v>
      </c>
      <c r="J2">
        <v>0</v>
      </c>
      <c r="K2">
        <v>0</v>
      </c>
      <c r="L2">
        <v>0</v>
      </c>
      <c r="M2">
        <v>0</v>
      </c>
      <c r="N2">
        <v>42</v>
      </c>
      <c r="O2">
        <v>37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10</v>
      </c>
      <c r="W2">
        <v>6</v>
      </c>
      <c r="X2">
        <v>0</v>
      </c>
      <c r="Y2">
        <v>0</v>
      </c>
      <c r="Z2">
        <v>6</v>
      </c>
      <c r="AA2">
        <v>6</v>
      </c>
      <c r="AB2">
        <v>3</v>
      </c>
      <c r="AC2">
        <v>8</v>
      </c>
      <c r="AD2">
        <v>0</v>
      </c>
      <c r="AE2">
        <v>0</v>
      </c>
      <c r="AF2">
        <v>0</v>
      </c>
      <c r="AG2">
        <v>7</v>
      </c>
      <c r="AH2">
        <v>5</v>
      </c>
      <c r="AI2">
        <v>0</v>
      </c>
      <c r="AJ2">
        <v>0</v>
      </c>
      <c r="AK2">
        <v>1</v>
      </c>
      <c r="AL2">
        <v>0</v>
      </c>
      <c r="AM2">
        <v>0</v>
      </c>
      <c r="AN2">
        <v>0</v>
      </c>
      <c r="AO2">
        <v>6</v>
      </c>
      <c r="AP2">
        <v>6</v>
      </c>
      <c r="AQ2">
        <v>3</v>
      </c>
      <c r="AR2">
        <v>8</v>
      </c>
      <c r="AS2">
        <v>0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42</v>
      </c>
      <c r="BO2">
        <v>37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0</v>
      </c>
      <c r="CB2">
        <v>0</v>
      </c>
      <c r="CC2">
        <v>28</v>
      </c>
      <c r="CD2">
        <v>7</v>
      </c>
      <c r="CE2">
        <v>3</v>
      </c>
      <c r="CF2">
        <v>6</v>
      </c>
      <c r="CG2">
        <v>6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217</v>
      </c>
      <c r="F3">
        <v>96</v>
      </c>
      <c r="G3">
        <v>45</v>
      </c>
      <c r="H3">
        <v>31</v>
      </c>
      <c r="I3">
        <v>0</v>
      </c>
      <c r="J3">
        <v>0</v>
      </c>
      <c r="K3">
        <v>0</v>
      </c>
      <c r="L3">
        <v>0</v>
      </c>
      <c r="M3">
        <v>0</v>
      </c>
      <c r="N3">
        <v>23</v>
      </c>
      <c r="O3">
        <v>19</v>
      </c>
      <c r="P3">
        <v>2</v>
      </c>
      <c r="Q3">
        <v>2</v>
      </c>
      <c r="R3">
        <v>0</v>
      </c>
      <c r="S3">
        <v>0</v>
      </c>
      <c r="T3">
        <v>0</v>
      </c>
      <c r="U3">
        <v>0</v>
      </c>
      <c r="V3">
        <v>17</v>
      </c>
      <c r="W3">
        <v>10</v>
      </c>
      <c r="X3">
        <v>6</v>
      </c>
      <c r="Y3">
        <v>3</v>
      </c>
      <c r="Z3">
        <v>5</v>
      </c>
      <c r="AA3">
        <v>4</v>
      </c>
      <c r="AB3">
        <v>3</v>
      </c>
      <c r="AC3">
        <v>11</v>
      </c>
      <c r="AD3">
        <v>0</v>
      </c>
      <c r="AE3">
        <v>91</v>
      </c>
      <c r="AF3">
        <v>0</v>
      </c>
      <c r="AG3">
        <v>8</v>
      </c>
      <c r="AH3">
        <v>5</v>
      </c>
      <c r="AI3">
        <v>6</v>
      </c>
      <c r="AJ3">
        <v>3</v>
      </c>
      <c r="AK3">
        <v>2</v>
      </c>
      <c r="AL3">
        <v>1</v>
      </c>
      <c r="AM3">
        <v>0</v>
      </c>
      <c r="AN3">
        <v>0</v>
      </c>
      <c r="AO3">
        <v>5</v>
      </c>
      <c r="AP3">
        <v>4</v>
      </c>
      <c r="AQ3">
        <v>3</v>
      </c>
      <c r="AR3">
        <v>11</v>
      </c>
      <c r="AS3">
        <v>0</v>
      </c>
      <c r="AT3">
        <v>1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0</v>
      </c>
      <c r="BK3">
        <v>0</v>
      </c>
      <c r="BL3">
        <v>0</v>
      </c>
      <c r="BM3">
        <v>0</v>
      </c>
      <c r="BN3">
        <v>23</v>
      </c>
      <c r="BO3">
        <v>19</v>
      </c>
      <c r="BP3">
        <v>2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15</v>
      </c>
      <c r="CD3">
        <v>10</v>
      </c>
      <c r="CE3">
        <v>7</v>
      </c>
      <c r="CF3">
        <v>2</v>
      </c>
      <c r="CG3">
        <v>1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217</v>
      </c>
      <c r="F4">
        <v>100</v>
      </c>
      <c r="G4">
        <v>46</v>
      </c>
      <c r="H4">
        <v>32</v>
      </c>
      <c r="I4">
        <v>0</v>
      </c>
      <c r="J4">
        <v>0</v>
      </c>
      <c r="K4">
        <v>0</v>
      </c>
      <c r="L4">
        <v>0</v>
      </c>
      <c r="M4">
        <v>0</v>
      </c>
      <c r="N4">
        <v>22</v>
      </c>
      <c r="O4">
        <v>18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14</v>
      </c>
      <c r="W4">
        <v>10</v>
      </c>
      <c r="X4">
        <v>8</v>
      </c>
      <c r="Y4">
        <v>6</v>
      </c>
      <c r="Z4">
        <v>4</v>
      </c>
      <c r="AA4">
        <v>5</v>
      </c>
      <c r="AB4">
        <v>4</v>
      </c>
      <c r="AC4">
        <v>15</v>
      </c>
      <c r="AD4">
        <v>0</v>
      </c>
      <c r="AE4">
        <v>0</v>
      </c>
      <c r="AF4">
        <v>0</v>
      </c>
      <c r="AG4">
        <v>5</v>
      </c>
      <c r="AH4">
        <v>4</v>
      </c>
      <c r="AI4">
        <v>8</v>
      </c>
      <c r="AJ4">
        <v>6</v>
      </c>
      <c r="AK4">
        <v>0</v>
      </c>
      <c r="AL4">
        <v>0</v>
      </c>
      <c r="AM4">
        <v>0</v>
      </c>
      <c r="AN4">
        <v>0</v>
      </c>
      <c r="AO4">
        <v>4</v>
      </c>
      <c r="AP4">
        <v>5</v>
      </c>
      <c r="AQ4">
        <v>4</v>
      </c>
      <c r="AR4">
        <v>15</v>
      </c>
      <c r="AS4">
        <v>0</v>
      </c>
      <c r="AT4">
        <v>5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22</v>
      </c>
      <c r="BO4">
        <v>18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10</v>
      </c>
      <c r="CD4">
        <v>11</v>
      </c>
      <c r="CE4">
        <v>7</v>
      </c>
      <c r="CF4">
        <v>1</v>
      </c>
      <c r="CG4">
        <v>1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217</v>
      </c>
      <c r="F5">
        <v>95</v>
      </c>
      <c r="G5">
        <v>85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67</v>
      </c>
      <c r="O5">
        <v>60</v>
      </c>
      <c r="P5">
        <v>4</v>
      </c>
      <c r="Q5">
        <v>1</v>
      </c>
      <c r="R5">
        <v>0</v>
      </c>
      <c r="S5">
        <v>0</v>
      </c>
      <c r="T5">
        <v>0</v>
      </c>
      <c r="U5">
        <v>0</v>
      </c>
      <c r="V5">
        <v>9</v>
      </c>
      <c r="W5">
        <v>8</v>
      </c>
      <c r="X5">
        <v>1</v>
      </c>
      <c r="Y5">
        <v>1</v>
      </c>
      <c r="Z5">
        <v>10</v>
      </c>
      <c r="AA5">
        <v>10</v>
      </c>
      <c r="AB5">
        <v>4</v>
      </c>
      <c r="AC5">
        <v>17</v>
      </c>
      <c r="AD5">
        <v>1</v>
      </c>
      <c r="AE5">
        <v>0</v>
      </c>
      <c r="AF5">
        <v>0</v>
      </c>
      <c r="AG5">
        <v>1</v>
      </c>
      <c r="AH5">
        <v>0</v>
      </c>
      <c r="AI5">
        <v>1</v>
      </c>
      <c r="AJ5">
        <v>1</v>
      </c>
      <c r="AK5">
        <v>6</v>
      </c>
      <c r="AL5">
        <v>6</v>
      </c>
      <c r="AM5">
        <v>0</v>
      </c>
      <c r="AN5">
        <v>0</v>
      </c>
      <c r="AO5">
        <v>10</v>
      </c>
      <c r="AP5">
        <v>10</v>
      </c>
      <c r="AQ5">
        <v>4</v>
      </c>
      <c r="AR5">
        <v>17</v>
      </c>
      <c r="AS5">
        <v>1</v>
      </c>
      <c r="AT5">
        <v>4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2</v>
      </c>
      <c r="BN5">
        <v>67</v>
      </c>
      <c r="BO5">
        <v>60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4</v>
      </c>
      <c r="BZ5">
        <v>1</v>
      </c>
      <c r="CA5">
        <v>0</v>
      </c>
      <c r="CB5">
        <v>0</v>
      </c>
      <c r="CC5">
        <v>41</v>
      </c>
      <c r="CD5">
        <v>17</v>
      </c>
      <c r="CE5">
        <v>12</v>
      </c>
      <c r="CF5">
        <v>2</v>
      </c>
      <c r="CG5">
        <v>2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217</v>
      </c>
      <c r="F6">
        <v>96</v>
      </c>
      <c r="G6">
        <v>34</v>
      </c>
      <c r="H6">
        <v>16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10</v>
      </c>
      <c r="P6">
        <v>8</v>
      </c>
      <c r="Q6">
        <v>4</v>
      </c>
      <c r="R6">
        <v>0</v>
      </c>
      <c r="S6">
        <v>0</v>
      </c>
      <c r="T6">
        <v>2</v>
      </c>
      <c r="U6">
        <v>0</v>
      </c>
      <c r="V6">
        <v>13</v>
      </c>
      <c r="W6">
        <v>5</v>
      </c>
      <c r="X6">
        <v>5</v>
      </c>
      <c r="Y6">
        <v>2</v>
      </c>
      <c r="Z6">
        <v>5</v>
      </c>
      <c r="AA6">
        <v>6</v>
      </c>
      <c r="AB6">
        <v>3</v>
      </c>
      <c r="AC6">
        <v>7</v>
      </c>
      <c r="AD6">
        <v>0</v>
      </c>
      <c r="AE6">
        <v>0</v>
      </c>
      <c r="AF6">
        <v>0</v>
      </c>
      <c r="AG6">
        <v>2</v>
      </c>
      <c r="AH6">
        <v>1</v>
      </c>
      <c r="AI6">
        <v>5</v>
      </c>
      <c r="AJ6">
        <v>2</v>
      </c>
      <c r="AK6">
        <v>2</v>
      </c>
      <c r="AL6">
        <v>2</v>
      </c>
      <c r="AM6">
        <v>0</v>
      </c>
      <c r="AN6">
        <v>0</v>
      </c>
      <c r="AO6">
        <v>5</v>
      </c>
      <c r="AP6">
        <v>6</v>
      </c>
      <c r="AQ6">
        <v>3</v>
      </c>
      <c r="AR6">
        <v>7</v>
      </c>
      <c r="AS6">
        <v>0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4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10</v>
      </c>
      <c r="BP6">
        <v>8</v>
      </c>
      <c r="BQ6">
        <v>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1</v>
      </c>
      <c r="CB6">
        <v>0</v>
      </c>
      <c r="CC6">
        <v>4</v>
      </c>
      <c r="CD6">
        <v>11</v>
      </c>
      <c r="CE6">
        <v>6</v>
      </c>
      <c r="CF6">
        <v>1</v>
      </c>
      <c r="CG6">
        <v>1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217</v>
      </c>
      <c r="F7">
        <v>101</v>
      </c>
      <c r="G7">
        <v>61</v>
      </c>
      <c r="H7">
        <v>46</v>
      </c>
      <c r="I7">
        <v>0</v>
      </c>
      <c r="J7">
        <v>0</v>
      </c>
      <c r="K7">
        <v>0</v>
      </c>
      <c r="L7">
        <v>0</v>
      </c>
      <c r="M7">
        <v>0</v>
      </c>
      <c r="N7">
        <v>45</v>
      </c>
      <c r="O7">
        <v>41</v>
      </c>
      <c r="P7">
        <v>3</v>
      </c>
      <c r="Q7">
        <v>2</v>
      </c>
      <c r="R7">
        <v>0</v>
      </c>
      <c r="S7">
        <v>0</v>
      </c>
      <c r="T7">
        <v>0</v>
      </c>
      <c r="U7">
        <v>0</v>
      </c>
      <c r="V7">
        <v>10</v>
      </c>
      <c r="W7">
        <v>4</v>
      </c>
      <c r="X7">
        <v>7</v>
      </c>
      <c r="Y7">
        <v>3</v>
      </c>
      <c r="Z7">
        <v>9</v>
      </c>
      <c r="AA7">
        <v>8</v>
      </c>
      <c r="AB7">
        <v>5</v>
      </c>
      <c r="AC7">
        <v>17</v>
      </c>
      <c r="AD7">
        <v>3</v>
      </c>
      <c r="AE7">
        <v>0</v>
      </c>
      <c r="AF7">
        <v>0</v>
      </c>
      <c r="AG7">
        <v>3</v>
      </c>
      <c r="AH7">
        <v>1</v>
      </c>
      <c r="AI7">
        <v>7</v>
      </c>
      <c r="AJ7">
        <v>3</v>
      </c>
      <c r="AK7">
        <v>0</v>
      </c>
      <c r="AL7">
        <v>0</v>
      </c>
      <c r="AM7">
        <v>0</v>
      </c>
      <c r="AN7">
        <v>0</v>
      </c>
      <c r="AO7">
        <v>9</v>
      </c>
      <c r="AP7">
        <v>8</v>
      </c>
      <c r="AQ7">
        <v>5</v>
      </c>
      <c r="AR7">
        <v>17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45</v>
      </c>
      <c r="BO7">
        <v>41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4</v>
      </c>
      <c r="BZ7">
        <v>2</v>
      </c>
      <c r="CA7">
        <v>0</v>
      </c>
      <c r="CB7">
        <v>0</v>
      </c>
      <c r="CC7">
        <v>26</v>
      </c>
      <c r="CD7">
        <v>10</v>
      </c>
      <c r="CE7">
        <v>8</v>
      </c>
      <c r="CF7">
        <v>1</v>
      </c>
      <c r="CG7">
        <v>1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217</v>
      </c>
      <c r="F8">
        <v>97</v>
      </c>
      <c r="G8">
        <v>42</v>
      </c>
      <c r="H8">
        <v>29</v>
      </c>
      <c r="I8">
        <v>0</v>
      </c>
      <c r="J8">
        <v>1</v>
      </c>
      <c r="K8">
        <v>1</v>
      </c>
      <c r="L8">
        <v>1</v>
      </c>
      <c r="M8">
        <v>0.06</v>
      </c>
      <c r="N8">
        <v>23</v>
      </c>
      <c r="O8">
        <v>16</v>
      </c>
      <c r="P8">
        <v>2</v>
      </c>
      <c r="Q8">
        <v>2</v>
      </c>
      <c r="R8">
        <v>0</v>
      </c>
      <c r="S8">
        <v>0</v>
      </c>
      <c r="T8">
        <v>0</v>
      </c>
      <c r="U8">
        <v>0</v>
      </c>
      <c r="V8">
        <v>12</v>
      </c>
      <c r="W8">
        <v>9</v>
      </c>
      <c r="X8">
        <v>7</v>
      </c>
      <c r="Y8">
        <v>6</v>
      </c>
      <c r="Z8">
        <v>8</v>
      </c>
      <c r="AA8">
        <v>7</v>
      </c>
      <c r="AB8">
        <v>6</v>
      </c>
      <c r="AC8">
        <v>13</v>
      </c>
      <c r="AD8">
        <v>1</v>
      </c>
      <c r="AE8">
        <v>0</v>
      </c>
      <c r="AF8">
        <v>0</v>
      </c>
      <c r="AG8">
        <v>3</v>
      </c>
      <c r="AH8">
        <v>2</v>
      </c>
      <c r="AI8">
        <v>7</v>
      </c>
      <c r="AJ8">
        <v>6</v>
      </c>
      <c r="AK8">
        <v>2</v>
      </c>
      <c r="AL8">
        <v>1</v>
      </c>
      <c r="AM8">
        <v>1</v>
      </c>
      <c r="AN8">
        <v>1</v>
      </c>
      <c r="AO8">
        <v>8</v>
      </c>
      <c r="AP8">
        <v>7</v>
      </c>
      <c r="AQ8">
        <v>6</v>
      </c>
      <c r="AR8">
        <v>13</v>
      </c>
      <c r="AS8">
        <v>1</v>
      </c>
      <c r="AT8">
        <v>2</v>
      </c>
      <c r="AU8">
        <v>1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23</v>
      </c>
      <c r="BO8">
        <v>16</v>
      </c>
      <c r="BP8">
        <v>2</v>
      </c>
      <c r="BQ8">
        <v>2</v>
      </c>
      <c r="BR8">
        <v>0</v>
      </c>
      <c r="BS8">
        <v>0</v>
      </c>
      <c r="BT8">
        <v>0</v>
      </c>
      <c r="BU8">
        <v>0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7</v>
      </c>
      <c r="CD8">
        <v>10</v>
      </c>
      <c r="CE8">
        <v>7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217</v>
      </c>
      <c r="F9">
        <v>100</v>
      </c>
      <c r="G9">
        <v>45</v>
      </c>
      <c r="H9">
        <v>29</v>
      </c>
      <c r="I9">
        <v>0</v>
      </c>
      <c r="J9">
        <v>0</v>
      </c>
      <c r="K9">
        <v>1</v>
      </c>
      <c r="L9">
        <v>1</v>
      </c>
      <c r="M9">
        <v>0.37</v>
      </c>
      <c r="N9">
        <v>19</v>
      </c>
      <c r="O9">
        <v>15</v>
      </c>
      <c r="P9">
        <v>3</v>
      </c>
      <c r="Q9">
        <v>2</v>
      </c>
      <c r="R9">
        <v>0</v>
      </c>
      <c r="S9">
        <v>0</v>
      </c>
      <c r="T9">
        <v>0</v>
      </c>
      <c r="U9">
        <v>0</v>
      </c>
      <c r="V9">
        <v>16</v>
      </c>
      <c r="W9">
        <v>10</v>
      </c>
      <c r="X9">
        <v>5</v>
      </c>
      <c r="Y9">
        <v>4</v>
      </c>
      <c r="Z9">
        <v>8</v>
      </c>
      <c r="AA9">
        <v>6</v>
      </c>
      <c r="AB9">
        <v>6</v>
      </c>
      <c r="AC9">
        <v>11</v>
      </c>
      <c r="AD9">
        <v>1</v>
      </c>
      <c r="AE9">
        <v>0</v>
      </c>
      <c r="AF9">
        <v>0</v>
      </c>
      <c r="AG9">
        <v>5</v>
      </c>
      <c r="AH9">
        <v>4</v>
      </c>
      <c r="AI9">
        <v>5</v>
      </c>
      <c r="AJ9">
        <v>4</v>
      </c>
      <c r="AK9">
        <v>3</v>
      </c>
      <c r="AL9">
        <v>2</v>
      </c>
      <c r="AM9">
        <v>0</v>
      </c>
      <c r="AN9">
        <v>0</v>
      </c>
      <c r="AO9">
        <v>8</v>
      </c>
      <c r="AP9">
        <v>6</v>
      </c>
      <c r="AQ9">
        <v>6</v>
      </c>
      <c r="AR9">
        <v>11</v>
      </c>
      <c r="AS9">
        <v>1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1</v>
      </c>
      <c r="BB9">
        <v>0.37</v>
      </c>
      <c r="BC9">
        <v>0</v>
      </c>
      <c r="BD9">
        <v>0</v>
      </c>
      <c r="BE9">
        <v>0</v>
      </c>
      <c r="BF9">
        <v>0</v>
      </c>
      <c r="BG9">
        <v>0</v>
      </c>
      <c r="BH9">
        <v>3</v>
      </c>
      <c r="BI9">
        <v>0</v>
      </c>
      <c r="BJ9">
        <v>1</v>
      </c>
      <c r="BK9">
        <v>0</v>
      </c>
      <c r="BL9">
        <v>0</v>
      </c>
      <c r="BM9">
        <v>0</v>
      </c>
      <c r="BN9">
        <v>19</v>
      </c>
      <c r="BO9">
        <v>15</v>
      </c>
      <c r="BP9">
        <v>3</v>
      </c>
      <c r="BQ9">
        <v>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1</v>
      </c>
      <c r="CB9">
        <v>1</v>
      </c>
      <c r="CC9">
        <v>10</v>
      </c>
      <c r="CD9">
        <v>9</v>
      </c>
      <c r="CE9">
        <v>6</v>
      </c>
      <c r="CF9">
        <v>1</v>
      </c>
      <c r="CG9">
        <v>1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217</v>
      </c>
      <c r="F10">
        <v>101</v>
      </c>
      <c r="G10">
        <v>49</v>
      </c>
      <c r="H10">
        <v>24</v>
      </c>
      <c r="I10">
        <v>0</v>
      </c>
      <c r="J10">
        <v>0</v>
      </c>
      <c r="K10">
        <v>0</v>
      </c>
      <c r="L10">
        <v>0</v>
      </c>
      <c r="M10">
        <v>0</v>
      </c>
      <c r="N10">
        <v>28</v>
      </c>
      <c r="O10">
        <v>16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8</v>
      </c>
      <c r="X10">
        <v>6</v>
      </c>
      <c r="Y10">
        <v>3</v>
      </c>
      <c r="Z10">
        <v>4</v>
      </c>
      <c r="AA10">
        <v>13</v>
      </c>
      <c r="AB10">
        <v>6</v>
      </c>
      <c r="AC10">
        <v>13</v>
      </c>
      <c r="AD10">
        <v>1</v>
      </c>
      <c r="AE10">
        <v>0</v>
      </c>
      <c r="AF10">
        <v>0</v>
      </c>
      <c r="AG10">
        <v>3</v>
      </c>
      <c r="AH10">
        <v>1</v>
      </c>
      <c r="AI10">
        <v>6</v>
      </c>
      <c r="AJ10">
        <v>3</v>
      </c>
      <c r="AK10">
        <v>5</v>
      </c>
      <c r="AL10">
        <v>4</v>
      </c>
      <c r="AM10">
        <v>0</v>
      </c>
      <c r="AN10">
        <v>0</v>
      </c>
      <c r="AO10">
        <v>4</v>
      </c>
      <c r="AP10">
        <v>13</v>
      </c>
      <c r="AQ10">
        <v>6</v>
      </c>
      <c r="AR10">
        <v>13</v>
      </c>
      <c r="AS10">
        <v>1</v>
      </c>
      <c r="AT10">
        <v>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1</v>
      </c>
      <c r="BN10">
        <v>28</v>
      </c>
      <c r="BO10">
        <v>16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2</v>
      </c>
      <c r="CA10">
        <v>0</v>
      </c>
      <c r="CB10">
        <v>0</v>
      </c>
      <c r="CC10">
        <v>11</v>
      </c>
      <c r="CD10">
        <v>16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217</v>
      </c>
      <c r="F11">
        <v>98</v>
      </c>
      <c r="G11">
        <v>76</v>
      </c>
      <c r="H11">
        <v>63</v>
      </c>
      <c r="I11">
        <v>0</v>
      </c>
      <c r="J11">
        <v>0</v>
      </c>
      <c r="K11">
        <v>0</v>
      </c>
      <c r="L11">
        <v>0</v>
      </c>
      <c r="M11">
        <v>0</v>
      </c>
      <c r="N11">
        <v>60</v>
      </c>
      <c r="O11">
        <v>55</v>
      </c>
      <c r="P11">
        <v>5</v>
      </c>
      <c r="Q11">
        <v>3</v>
      </c>
      <c r="R11">
        <v>0</v>
      </c>
      <c r="S11">
        <v>0</v>
      </c>
      <c r="T11">
        <v>0</v>
      </c>
      <c r="U11">
        <v>0</v>
      </c>
      <c r="V11">
        <v>8</v>
      </c>
      <c r="W11">
        <v>4</v>
      </c>
      <c r="X11">
        <v>0</v>
      </c>
      <c r="Y11">
        <v>0</v>
      </c>
      <c r="Z11">
        <v>5</v>
      </c>
      <c r="AA11">
        <v>6</v>
      </c>
      <c r="AB11">
        <v>3</v>
      </c>
      <c r="AC11">
        <v>12</v>
      </c>
      <c r="AD11">
        <v>1</v>
      </c>
      <c r="AE11">
        <v>0</v>
      </c>
      <c r="AF11">
        <v>0</v>
      </c>
      <c r="AG11">
        <v>5</v>
      </c>
      <c r="AH11">
        <v>2</v>
      </c>
      <c r="AI11">
        <v>0</v>
      </c>
      <c r="AJ11">
        <v>0</v>
      </c>
      <c r="AK11">
        <v>2</v>
      </c>
      <c r="AL11">
        <v>1</v>
      </c>
      <c r="AM11">
        <v>0</v>
      </c>
      <c r="AN11">
        <v>0</v>
      </c>
      <c r="AO11">
        <v>5</v>
      </c>
      <c r="AP11">
        <v>6</v>
      </c>
      <c r="AQ11">
        <v>3</v>
      </c>
      <c r="AR11">
        <v>12</v>
      </c>
      <c r="AS11">
        <v>1</v>
      </c>
      <c r="AT11">
        <v>3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1</v>
      </c>
      <c r="BJ11">
        <v>0</v>
      </c>
      <c r="BK11">
        <v>0</v>
      </c>
      <c r="BL11">
        <v>0</v>
      </c>
      <c r="BM11">
        <v>1</v>
      </c>
      <c r="BN11">
        <v>60</v>
      </c>
      <c r="BO11">
        <v>55</v>
      </c>
      <c r="BP11">
        <v>5</v>
      </c>
      <c r="BQ11">
        <v>3</v>
      </c>
      <c r="BR11">
        <v>1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1</v>
      </c>
      <c r="CA11">
        <v>0</v>
      </c>
      <c r="CB11">
        <v>0</v>
      </c>
      <c r="CC11">
        <v>41</v>
      </c>
      <c r="CD11">
        <v>15</v>
      </c>
      <c r="CE11">
        <v>12</v>
      </c>
      <c r="CF11">
        <v>3</v>
      </c>
      <c r="CG11">
        <v>3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218</v>
      </c>
      <c r="F12">
        <v>99</v>
      </c>
      <c r="G12">
        <v>114</v>
      </c>
      <c r="H12">
        <v>102</v>
      </c>
      <c r="I12">
        <v>0</v>
      </c>
      <c r="J12">
        <v>0</v>
      </c>
      <c r="K12">
        <v>1</v>
      </c>
      <c r="L12">
        <v>1</v>
      </c>
      <c r="M12">
        <v>0.04</v>
      </c>
      <c r="N12">
        <v>93</v>
      </c>
      <c r="O12">
        <v>84</v>
      </c>
      <c r="P12">
        <v>12</v>
      </c>
      <c r="Q12">
        <v>8</v>
      </c>
      <c r="R12">
        <v>1</v>
      </c>
      <c r="S12">
        <v>0</v>
      </c>
      <c r="T12">
        <v>1</v>
      </c>
      <c r="U12">
        <v>1</v>
      </c>
      <c r="V12">
        <v>16</v>
      </c>
      <c r="W12">
        <v>15</v>
      </c>
      <c r="X12">
        <v>7</v>
      </c>
      <c r="Y12">
        <v>7</v>
      </c>
      <c r="Z12">
        <v>4</v>
      </c>
      <c r="AA12">
        <v>13</v>
      </c>
      <c r="AB12">
        <v>4</v>
      </c>
      <c r="AC12">
        <v>18</v>
      </c>
      <c r="AD12">
        <v>4</v>
      </c>
      <c r="AE12">
        <v>27</v>
      </c>
      <c r="AF12">
        <v>0</v>
      </c>
      <c r="AG12">
        <v>6</v>
      </c>
      <c r="AH12">
        <v>5</v>
      </c>
      <c r="AI12">
        <v>7</v>
      </c>
      <c r="AJ12">
        <v>7</v>
      </c>
      <c r="AK12">
        <v>2</v>
      </c>
      <c r="AL12">
        <v>2</v>
      </c>
      <c r="AM12">
        <v>0</v>
      </c>
      <c r="AN12">
        <v>0</v>
      </c>
      <c r="AO12">
        <v>4</v>
      </c>
      <c r="AP12">
        <v>13</v>
      </c>
      <c r="AQ12">
        <v>4</v>
      </c>
      <c r="AR12">
        <v>18</v>
      </c>
      <c r="AS12">
        <v>4</v>
      </c>
      <c r="AT12">
        <v>1</v>
      </c>
      <c r="AU12">
        <v>1</v>
      </c>
      <c r="AV12">
        <v>1</v>
      </c>
      <c r="AW12">
        <v>0</v>
      </c>
      <c r="AX12">
        <v>0</v>
      </c>
      <c r="AY12">
        <v>0</v>
      </c>
      <c r="AZ12">
        <v>1</v>
      </c>
      <c r="BA12">
        <v>1</v>
      </c>
      <c r="BB12">
        <v>0.04</v>
      </c>
      <c r="BC12">
        <v>0</v>
      </c>
      <c r="BD12">
        <v>1</v>
      </c>
      <c r="BE12">
        <v>0</v>
      </c>
      <c r="BF12">
        <v>1</v>
      </c>
      <c r="BG12">
        <v>1</v>
      </c>
      <c r="BH12">
        <v>1</v>
      </c>
      <c r="BI12">
        <v>1</v>
      </c>
      <c r="BJ12">
        <v>3</v>
      </c>
      <c r="BK12">
        <v>0</v>
      </c>
      <c r="BL12">
        <v>1</v>
      </c>
      <c r="BM12">
        <v>1</v>
      </c>
      <c r="BN12">
        <v>93</v>
      </c>
      <c r="BO12">
        <v>84</v>
      </c>
      <c r="BP12">
        <v>12</v>
      </c>
      <c r="BQ12">
        <v>8</v>
      </c>
      <c r="BR12">
        <v>1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3</v>
      </c>
      <c r="CA12">
        <v>1</v>
      </c>
      <c r="CB12">
        <v>0</v>
      </c>
      <c r="CC12">
        <v>56</v>
      </c>
      <c r="CD12">
        <v>30</v>
      </c>
      <c r="CE12">
        <v>25</v>
      </c>
      <c r="CF12">
        <v>2</v>
      </c>
      <c r="CG12">
        <v>1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217</v>
      </c>
      <c r="F13">
        <v>94</v>
      </c>
      <c r="G13">
        <v>59</v>
      </c>
      <c r="H13">
        <v>39</v>
      </c>
      <c r="I13">
        <v>0</v>
      </c>
      <c r="J13">
        <v>0</v>
      </c>
      <c r="K13">
        <v>0</v>
      </c>
      <c r="L13">
        <v>0</v>
      </c>
      <c r="M13">
        <v>0</v>
      </c>
      <c r="N13">
        <v>42</v>
      </c>
      <c r="O13">
        <v>33</v>
      </c>
      <c r="P13">
        <v>7</v>
      </c>
      <c r="Q13">
        <v>2</v>
      </c>
      <c r="R13">
        <v>0</v>
      </c>
      <c r="S13">
        <v>0</v>
      </c>
      <c r="T13">
        <v>0</v>
      </c>
      <c r="U13">
        <v>0</v>
      </c>
      <c r="V13">
        <v>9</v>
      </c>
      <c r="W13">
        <v>4</v>
      </c>
      <c r="X13">
        <v>4</v>
      </c>
      <c r="Y13">
        <v>1</v>
      </c>
      <c r="Z13">
        <v>4</v>
      </c>
      <c r="AA13">
        <v>9</v>
      </c>
      <c r="AB13">
        <v>2</v>
      </c>
      <c r="AC13">
        <v>10</v>
      </c>
      <c r="AD13">
        <v>1</v>
      </c>
      <c r="AE13">
        <v>0</v>
      </c>
      <c r="AF13">
        <v>0</v>
      </c>
      <c r="AG13">
        <v>3</v>
      </c>
      <c r="AH13">
        <v>3</v>
      </c>
      <c r="AI13">
        <v>4</v>
      </c>
      <c r="AJ13">
        <v>1</v>
      </c>
      <c r="AK13">
        <v>2</v>
      </c>
      <c r="AL13">
        <v>0</v>
      </c>
      <c r="AM13">
        <v>0</v>
      </c>
      <c r="AN13">
        <v>0</v>
      </c>
      <c r="AO13">
        <v>4</v>
      </c>
      <c r="AP13">
        <v>9</v>
      </c>
      <c r="AQ13">
        <v>2</v>
      </c>
      <c r="AR13">
        <v>10</v>
      </c>
      <c r="AS13">
        <v>1</v>
      </c>
      <c r="AT13">
        <v>3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0</v>
      </c>
      <c r="BM13">
        <v>0</v>
      </c>
      <c r="BN13">
        <v>42</v>
      </c>
      <c r="BO13">
        <v>33</v>
      </c>
      <c r="BP13">
        <v>7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0</v>
      </c>
      <c r="CB13">
        <v>0</v>
      </c>
      <c r="CC13">
        <v>23</v>
      </c>
      <c r="CD13">
        <v>10</v>
      </c>
      <c r="CE13">
        <v>1</v>
      </c>
      <c r="CF13">
        <v>1</v>
      </c>
      <c r="CG13">
        <v>1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G11"/>
  <sheetViews>
    <sheetView zoomScale="75" workbookViewId="0">
      <selection sqref="A1:A1048576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217</v>
      </c>
      <c r="F2">
        <v>95</v>
      </c>
      <c r="G2">
        <v>71</v>
      </c>
      <c r="H2">
        <v>53</v>
      </c>
      <c r="I2">
        <v>0</v>
      </c>
      <c r="J2">
        <v>0</v>
      </c>
      <c r="K2">
        <v>1</v>
      </c>
      <c r="L2">
        <v>0</v>
      </c>
      <c r="M2">
        <v>0.53</v>
      </c>
      <c r="N2">
        <v>48</v>
      </c>
      <c r="O2">
        <v>38</v>
      </c>
      <c r="P2">
        <v>13</v>
      </c>
      <c r="Q2">
        <v>5</v>
      </c>
      <c r="R2">
        <v>0</v>
      </c>
      <c r="S2">
        <v>0</v>
      </c>
      <c r="T2">
        <v>0</v>
      </c>
      <c r="U2">
        <v>0</v>
      </c>
      <c r="V2">
        <v>12</v>
      </c>
      <c r="W2">
        <v>10</v>
      </c>
      <c r="X2">
        <v>5</v>
      </c>
      <c r="Y2">
        <v>4</v>
      </c>
      <c r="Z2">
        <v>8</v>
      </c>
      <c r="AA2">
        <v>14</v>
      </c>
      <c r="AB2">
        <v>5</v>
      </c>
      <c r="AC2">
        <v>22</v>
      </c>
      <c r="AD2">
        <v>2</v>
      </c>
      <c r="AE2">
        <v>0</v>
      </c>
      <c r="AF2">
        <v>0</v>
      </c>
      <c r="AG2">
        <v>6</v>
      </c>
      <c r="AH2">
        <v>5</v>
      </c>
      <c r="AI2">
        <v>5</v>
      </c>
      <c r="AJ2">
        <v>4</v>
      </c>
      <c r="AK2">
        <v>1</v>
      </c>
      <c r="AL2">
        <v>1</v>
      </c>
      <c r="AM2">
        <v>0</v>
      </c>
      <c r="AN2">
        <v>0</v>
      </c>
      <c r="AO2">
        <v>8</v>
      </c>
      <c r="AP2">
        <v>14</v>
      </c>
      <c r="AQ2">
        <v>5</v>
      </c>
      <c r="AR2">
        <v>22</v>
      </c>
      <c r="AS2">
        <v>2</v>
      </c>
      <c r="AT2">
        <v>4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0.53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48</v>
      </c>
      <c r="BO2">
        <v>38</v>
      </c>
      <c r="BP2">
        <v>13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</v>
      </c>
      <c r="BZ2">
        <v>3</v>
      </c>
      <c r="CA2">
        <v>2</v>
      </c>
      <c r="CB2">
        <v>0</v>
      </c>
      <c r="CC2">
        <v>28</v>
      </c>
      <c r="CD2">
        <v>30</v>
      </c>
      <c r="CE2">
        <v>22</v>
      </c>
      <c r="CF2">
        <v>3</v>
      </c>
      <c r="CG2">
        <v>3</v>
      </c>
    </row>
    <row r="3" spans="1:85" x14ac:dyDescent="0.15">
      <c r="A3" t="s">
        <v>77</v>
      </c>
      <c r="B3" t="s">
        <v>79</v>
      </c>
      <c r="C3" t="s">
        <v>32</v>
      </c>
      <c r="D3" t="s">
        <v>30</v>
      </c>
      <c r="E3" t="s">
        <v>211</v>
      </c>
      <c r="F3">
        <v>93</v>
      </c>
      <c r="G3">
        <v>63</v>
      </c>
      <c r="H3">
        <v>46</v>
      </c>
      <c r="I3">
        <v>0</v>
      </c>
      <c r="J3">
        <v>0</v>
      </c>
      <c r="K3">
        <v>0</v>
      </c>
      <c r="L3">
        <v>0</v>
      </c>
      <c r="M3">
        <v>0</v>
      </c>
      <c r="N3">
        <v>47</v>
      </c>
      <c r="O3">
        <v>37</v>
      </c>
      <c r="P3">
        <v>7</v>
      </c>
      <c r="Q3">
        <v>2</v>
      </c>
      <c r="R3">
        <v>0</v>
      </c>
      <c r="S3">
        <v>0</v>
      </c>
      <c r="T3">
        <v>0</v>
      </c>
      <c r="U3">
        <v>0</v>
      </c>
      <c r="V3">
        <v>8</v>
      </c>
      <c r="W3">
        <v>6</v>
      </c>
      <c r="X3">
        <v>2</v>
      </c>
      <c r="Y3">
        <v>2</v>
      </c>
      <c r="Z3">
        <v>4</v>
      </c>
      <c r="AA3">
        <v>9</v>
      </c>
      <c r="AB3">
        <v>4</v>
      </c>
      <c r="AC3">
        <v>8</v>
      </c>
      <c r="AD3">
        <v>0</v>
      </c>
      <c r="AE3">
        <v>0</v>
      </c>
      <c r="AF3">
        <v>0</v>
      </c>
      <c r="AG3">
        <v>4</v>
      </c>
      <c r="AH3">
        <v>3</v>
      </c>
      <c r="AI3">
        <v>2</v>
      </c>
      <c r="AJ3">
        <v>2</v>
      </c>
      <c r="AK3">
        <v>2</v>
      </c>
      <c r="AL3">
        <v>1</v>
      </c>
      <c r="AM3">
        <v>0</v>
      </c>
      <c r="AN3">
        <v>0</v>
      </c>
      <c r="AO3">
        <v>4</v>
      </c>
      <c r="AP3">
        <v>9</v>
      </c>
      <c r="AQ3">
        <v>4</v>
      </c>
      <c r="AR3">
        <v>8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47</v>
      </c>
      <c r="BO3">
        <v>37</v>
      </c>
      <c r="BP3">
        <v>7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0.12</v>
      </c>
      <c r="BX3">
        <v>0</v>
      </c>
      <c r="BY3">
        <v>7</v>
      </c>
      <c r="BZ3">
        <v>4</v>
      </c>
      <c r="CA3">
        <v>0</v>
      </c>
      <c r="CB3">
        <v>0</v>
      </c>
      <c r="CC3">
        <v>35</v>
      </c>
      <c r="CD3">
        <v>28</v>
      </c>
      <c r="CE3">
        <v>21</v>
      </c>
      <c r="CF3">
        <v>3</v>
      </c>
      <c r="CG3">
        <v>2</v>
      </c>
    </row>
    <row r="4" spans="1:85" x14ac:dyDescent="0.15">
      <c r="A4" t="s">
        <v>80</v>
      </c>
      <c r="B4" t="s">
        <v>82</v>
      </c>
      <c r="C4" t="s">
        <v>32</v>
      </c>
      <c r="D4" t="s">
        <v>37</v>
      </c>
      <c r="E4" t="s">
        <v>211</v>
      </c>
      <c r="F4">
        <v>96</v>
      </c>
      <c r="G4">
        <v>51</v>
      </c>
      <c r="H4">
        <v>39</v>
      </c>
      <c r="I4">
        <v>0</v>
      </c>
      <c r="J4">
        <v>0</v>
      </c>
      <c r="K4">
        <v>0</v>
      </c>
      <c r="L4">
        <v>0</v>
      </c>
      <c r="M4">
        <v>0</v>
      </c>
      <c r="N4">
        <v>33</v>
      </c>
      <c r="O4">
        <v>29</v>
      </c>
      <c r="P4">
        <v>2</v>
      </c>
      <c r="Q4">
        <v>2</v>
      </c>
      <c r="R4">
        <v>0</v>
      </c>
      <c r="S4">
        <v>0</v>
      </c>
      <c r="T4">
        <v>0</v>
      </c>
      <c r="U4">
        <v>0</v>
      </c>
      <c r="V4">
        <v>12</v>
      </c>
      <c r="W4">
        <v>9</v>
      </c>
      <c r="X4">
        <v>4</v>
      </c>
      <c r="Y4">
        <v>2</v>
      </c>
      <c r="Z4">
        <v>7</v>
      </c>
      <c r="AA4">
        <v>8</v>
      </c>
      <c r="AB4">
        <v>3</v>
      </c>
      <c r="AC4">
        <v>11</v>
      </c>
      <c r="AD4">
        <v>1</v>
      </c>
      <c r="AE4">
        <v>0</v>
      </c>
      <c r="AF4">
        <v>0</v>
      </c>
      <c r="AG4">
        <v>5</v>
      </c>
      <c r="AH4">
        <v>4</v>
      </c>
      <c r="AI4">
        <v>4</v>
      </c>
      <c r="AJ4">
        <v>2</v>
      </c>
      <c r="AK4">
        <v>2</v>
      </c>
      <c r="AL4">
        <v>2</v>
      </c>
      <c r="AM4">
        <v>0</v>
      </c>
      <c r="AN4">
        <v>0</v>
      </c>
      <c r="AO4">
        <v>7</v>
      </c>
      <c r="AP4">
        <v>8</v>
      </c>
      <c r="AQ4">
        <v>3</v>
      </c>
      <c r="AR4">
        <v>11</v>
      </c>
      <c r="AS4">
        <v>1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1</v>
      </c>
      <c r="BJ4">
        <v>0</v>
      </c>
      <c r="BK4">
        <v>0</v>
      </c>
      <c r="BL4">
        <v>0</v>
      </c>
      <c r="BM4">
        <v>1</v>
      </c>
      <c r="BN4">
        <v>33</v>
      </c>
      <c r="BO4">
        <v>29</v>
      </c>
      <c r="BP4">
        <v>2</v>
      </c>
      <c r="BQ4">
        <v>2</v>
      </c>
      <c r="BR4">
        <v>1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2</v>
      </c>
      <c r="CA4">
        <v>1</v>
      </c>
      <c r="CB4">
        <v>1</v>
      </c>
      <c r="CC4">
        <v>14</v>
      </c>
      <c r="CD4">
        <v>16</v>
      </c>
      <c r="CE4">
        <v>13</v>
      </c>
      <c r="CF4">
        <v>3</v>
      </c>
      <c r="CG4">
        <v>2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219</v>
      </c>
      <c r="F5">
        <v>13</v>
      </c>
      <c r="G5">
        <v>8</v>
      </c>
      <c r="H5">
        <v>3</v>
      </c>
      <c r="I5">
        <v>0</v>
      </c>
      <c r="J5">
        <v>0</v>
      </c>
      <c r="K5">
        <v>0</v>
      </c>
      <c r="L5">
        <v>0</v>
      </c>
      <c r="M5">
        <v>0</v>
      </c>
      <c r="N5">
        <v>3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4</v>
      </c>
      <c r="W5">
        <v>2</v>
      </c>
      <c r="X5">
        <v>1</v>
      </c>
      <c r="Y5">
        <v>1</v>
      </c>
      <c r="Z5">
        <v>2</v>
      </c>
      <c r="AA5">
        <v>2</v>
      </c>
      <c r="AB5">
        <v>1</v>
      </c>
      <c r="AC5">
        <v>2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1</v>
      </c>
      <c r="AK5">
        <v>3</v>
      </c>
      <c r="AL5">
        <v>1</v>
      </c>
      <c r="AM5">
        <v>0</v>
      </c>
      <c r="AN5">
        <v>0</v>
      </c>
      <c r="AO5">
        <v>2</v>
      </c>
      <c r="AP5">
        <v>2</v>
      </c>
      <c r="AQ5">
        <v>1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3</v>
      </c>
      <c r="BO5">
        <v>1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220</v>
      </c>
      <c r="F6">
        <v>11</v>
      </c>
      <c r="G6">
        <v>4</v>
      </c>
      <c r="H6">
        <v>3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2</v>
      </c>
      <c r="W6">
        <v>2</v>
      </c>
      <c r="X6">
        <v>1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1</v>
      </c>
      <c r="AL6">
        <v>1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2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1</v>
      </c>
      <c r="CC6">
        <v>2</v>
      </c>
      <c r="CD6">
        <v>0</v>
      </c>
      <c r="CE6">
        <v>0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221</v>
      </c>
      <c r="F7">
        <v>17</v>
      </c>
      <c r="G7">
        <v>21</v>
      </c>
      <c r="H7">
        <v>13</v>
      </c>
      <c r="I7">
        <v>0</v>
      </c>
      <c r="J7">
        <v>0</v>
      </c>
      <c r="K7">
        <v>0</v>
      </c>
      <c r="L7">
        <v>0</v>
      </c>
      <c r="M7">
        <v>0</v>
      </c>
      <c r="N7">
        <v>16</v>
      </c>
      <c r="O7">
        <v>10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3</v>
      </c>
      <c r="X7">
        <v>3</v>
      </c>
      <c r="Y7">
        <v>1</v>
      </c>
      <c r="Z7">
        <v>2</v>
      </c>
      <c r="AA7">
        <v>8</v>
      </c>
      <c r="AB7">
        <v>1</v>
      </c>
      <c r="AC7">
        <v>5</v>
      </c>
      <c r="AD7">
        <v>1</v>
      </c>
      <c r="AE7">
        <v>0</v>
      </c>
      <c r="AF7">
        <v>0</v>
      </c>
      <c r="AG7">
        <v>2</v>
      </c>
      <c r="AH7">
        <v>2</v>
      </c>
      <c r="AI7">
        <v>3</v>
      </c>
      <c r="AJ7">
        <v>1</v>
      </c>
      <c r="AK7">
        <v>0</v>
      </c>
      <c r="AL7">
        <v>0</v>
      </c>
      <c r="AM7">
        <v>0</v>
      </c>
      <c r="AN7">
        <v>0</v>
      </c>
      <c r="AO7">
        <v>2</v>
      </c>
      <c r="AP7">
        <v>8</v>
      </c>
      <c r="AQ7">
        <v>1</v>
      </c>
      <c r="AR7">
        <v>5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16</v>
      </c>
      <c r="BO7">
        <v>10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8</v>
      </c>
      <c r="CD7">
        <v>7</v>
      </c>
      <c r="CE7">
        <v>4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222</v>
      </c>
      <c r="F8">
        <v>8</v>
      </c>
      <c r="G8">
        <v>5</v>
      </c>
      <c r="H8">
        <v>2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1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1</v>
      </c>
      <c r="CE8">
        <v>1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211</v>
      </c>
      <c r="F9">
        <v>100</v>
      </c>
      <c r="G9">
        <v>60</v>
      </c>
      <c r="H9">
        <v>40</v>
      </c>
      <c r="I9">
        <v>0</v>
      </c>
      <c r="J9">
        <v>0</v>
      </c>
      <c r="K9">
        <v>1</v>
      </c>
      <c r="L9">
        <v>0</v>
      </c>
      <c r="M9">
        <v>0</v>
      </c>
      <c r="N9">
        <v>35</v>
      </c>
      <c r="O9">
        <v>30</v>
      </c>
      <c r="P9">
        <v>4</v>
      </c>
      <c r="Q9">
        <v>4</v>
      </c>
      <c r="R9">
        <v>1</v>
      </c>
      <c r="S9">
        <v>0</v>
      </c>
      <c r="T9">
        <v>0</v>
      </c>
      <c r="U9">
        <v>0</v>
      </c>
      <c r="V9">
        <v>14</v>
      </c>
      <c r="W9">
        <v>8</v>
      </c>
      <c r="X9">
        <v>9</v>
      </c>
      <c r="Y9">
        <v>4</v>
      </c>
      <c r="Z9">
        <v>5</v>
      </c>
      <c r="AA9">
        <v>7</v>
      </c>
      <c r="AB9">
        <v>4</v>
      </c>
      <c r="AC9">
        <v>10</v>
      </c>
      <c r="AD9">
        <v>2</v>
      </c>
      <c r="AE9">
        <v>0</v>
      </c>
      <c r="AF9">
        <v>0</v>
      </c>
      <c r="AG9">
        <v>2</v>
      </c>
      <c r="AH9">
        <v>1</v>
      </c>
      <c r="AI9">
        <v>9</v>
      </c>
      <c r="AJ9">
        <v>4</v>
      </c>
      <c r="AK9">
        <v>1</v>
      </c>
      <c r="AL9">
        <v>1</v>
      </c>
      <c r="AM9">
        <v>0</v>
      </c>
      <c r="AN9">
        <v>0</v>
      </c>
      <c r="AO9">
        <v>5</v>
      </c>
      <c r="AP9">
        <v>7</v>
      </c>
      <c r="AQ9">
        <v>4</v>
      </c>
      <c r="AR9">
        <v>10</v>
      </c>
      <c r="AS9">
        <v>2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2</v>
      </c>
      <c r="BJ9">
        <v>1</v>
      </c>
      <c r="BK9">
        <v>0</v>
      </c>
      <c r="BL9">
        <v>1</v>
      </c>
      <c r="BM9">
        <v>0</v>
      </c>
      <c r="BN9">
        <v>35</v>
      </c>
      <c r="BO9">
        <v>30</v>
      </c>
      <c r="BP9">
        <v>4</v>
      </c>
      <c r="BQ9">
        <v>4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3</v>
      </c>
      <c r="BZ9">
        <v>3</v>
      </c>
      <c r="CA9">
        <v>1</v>
      </c>
      <c r="CB9">
        <v>0</v>
      </c>
      <c r="CC9">
        <v>18</v>
      </c>
      <c r="CD9">
        <v>11</v>
      </c>
      <c r="CE9">
        <v>9</v>
      </c>
      <c r="CF9">
        <v>5</v>
      </c>
      <c r="CG9">
        <v>5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211</v>
      </c>
      <c r="F10">
        <v>101</v>
      </c>
      <c r="G10">
        <v>40</v>
      </c>
      <c r="H10">
        <v>25</v>
      </c>
      <c r="I10">
        <v>0</v>
      </c>
      <c r="J10">
        <v>0</v>
      </c>
      <c r="K10">
        <v>0</v>
      </c>
      <c r="L10">
        <v>0</v>
      </c>
      <c r="M10">
        <v>0</v>
      </c>
      <c r="N10">
        <v>22</v>
      </c>
      <c r="O10">
        <v>14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10</v>
      </c>
      <c r="X10">
        <v>7</v>
      </c>
      <c r="Y10">
        <v>4</v>
      </c>
      <c r="Z10">
        <v>2</v>
      </c>
      <c r="AA10">
        <v>11</v>
      </c>
      <c r="AB10">
        <v>4</v>
      </c>
      <c r="AC10">
        <v>9</v>
      </c>
      <c r="AD10">
        <v>0</v>
      </c>
      <c r="AE10">
        <v>0</v>
      </c>
      <c r="AF10">
        <v>0</v>
      </c>
      <c r="AG10">
        <v>7</v>
      </c>
      <c r="AH10">
        <v>6</v>
      </c>
      <c r="AI10">
        <v>7</v>
      </c>
      <c r="AJ10">
        <v>4</v>
      </c>
      <c r="AK10">
        <v>0</v>
      </c>
      <c r="AL10">
        <v>0</v>
      </c>
      <c r="AM10">
        <v>0</v>
      </c>
      <c r="AN10">
        <v>0</v>
      </c>
      <c r="AO10">
        <v>2</v>
      </c>
      <c r="AP10">
        <v>11</v>
      </c>
      <c r="AQ10">
        <v>4</v>
      </c>
      <c r="AR10">
        <v>9</v>
      </c>
      <c r="AS10">
        <v>0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22</v>
      </c>
      <c r="BO10">
        <v>14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3</v>
      </c>
      <c r="CA10">
        <v>0</v>
      </c>
      <c r="CB10">
        <v>0</v>
      </c>
      <c r="CC10">
        <v>10</v>
      </c>
      <c r="CD10">
        <v>13</v>
      </c>
      <c r="CE10">
        <v>6</v>
      </c>
      <c r="CF10">
        <v>0</v>
      </c>
      <c r="CG10">
        <v>0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211</v>
      </c>
      <c r="F11">
        <v>98</v>
      </c>
      <c r="G11">
        <v>69</v>
      </c>
      <c r="H11">
        <v>55</v>
      </c>
      <c r="I11">
        <v>0</v>
      </c>
      <c r="J11">
        <v>0</v>
      </c>
      <c r="K11">
        <v>0</v>
      </c>
      <c r="L11">
        <v>0</v>
      </c>
      <c r="M11">
        <v>0</v>
      </c>
      <c r="N11">
        <v>54</v>
      </c>
      <c r="O11">
        <v>46</v>
      </c>
      <c r="P11">
        <v>7</v>
      </c>
      <c r="Q11">
        <v>3</v>
      </c>
      <c r="R11">
        <v>0</v>
      </c>
      <c r="S11">
        <v>0</v>
      </c>
      <c r="T11">
        <v>0</v>
      </c>
      <c r="U11">
        <v>0</v>
      </c>
      <c r="V11">
        <v>11</v>
      </c>
      <c r="W11">
        <v>8</v>
      </c>
      <c r="X11">
        <v>4</v>
      </c>
      <c r="Y11">
        <v>4</v>
      </c>
      <c r="Z11">
        <v>2</v>
      </c>
      <c r="AA11">
        <v>13</v>
      </c>
      <c r="AB11">
        <v>5</v>
      </c>
      <c r="AC11">
        <v>9</v>
      </c>
      <c r="AD11">
        <v>1</v>
      </c>
      <c r="AE11">
        <v>0</v>
      </c>
      <c r="AF11">
        <v>0</v>
      </c>
      <c r="AG11">
        <v>3</v>
      </c>
      <c r="AH11">
        <v>1</v>
      </c>
      <c r="AI11">
        <v>4</v>
      </c>
      <c r="AJ11">
        <v>4</v>
      </c>
      <c r="AK11">
        <v>3</v>
      </c>
      <c r="AL11">
        <v>3</v>
      </c>
      <c r="AM11">
        <v>0</v>
      </c>
      <c r="AN11">
        <v>0</v>
      </c>
      <c r="AO11">
        <v>2</v>
      </c>
      <c r="AP11">
        <v>13</v>
      </c>
      <c r="AQ11">
        <v>5</v>
      </c>
      <c r="AR11">
        <v>9</v>
      </c>
      <c r="AS11">
        <v>1</v>
      </c>
      <c r="AT11">
        <v>1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54</v>
      </c>
      <c r="BO11">
        <v>46</v>
      </c>
      <c r="BP11">
        <v>7</v>
      </c>
      <c r="BQ11">
        <v>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0</v>
      </c>
      <c r="CB11">
        <v>0</v>
      </c>
      <c r="CC11">
        <v>42</v>
      </c>
      <c r="CD11">
        <v>25</v>
      </c>
      <c r="CE11">
        <v>20</v>
      </c>
      <c r="CF11">
        <v>0</v>
      </c>
      <c r="CG11">
        <v>0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G15"/>
  <sheetViews>
    <sheetView zoomScale="75" workbookViewId="0">
      <selection activeCell="C8" sqref="C8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212</v>
      </c>
      <c r="F2">
        <v>89</v>
      </c>
      <c r="G2">
        <v>71</v>
      </c>
      <c r="H2">
        <v>56</v>
      </c>
      <c r="I2">
        <v>0</v>
      </c>
      <c r="J2">
        <v>0</v>
      </c>
      <c r="K2">
        <v>2</v>
      </c>
      <c r="L2">
        <v>2</v>
      </c>
      <c r="M2">
        <v>0.2</v>
      </c>
      <c r="N2">
        <v>48</v>
      </c>
      <c r="O2">
        <v>42</v>
      </c>
      <c r="P2">
        <v>7</v>
      </c>
      <c r="Q2">
        <v>7</v>
      </c>
      <c r="R2">
        <v>0</v>
      </c>
      <c r="S2">
        <v>0</v>
      </c>
      <c r="T2">
        <v>0</v>
      </c>
      <c r="U2">
        <v>0</v>
      </c>
      <c r="V2">
        <v>14</v>
      </c>
      <c r="W2">
        <v>8</v>
      </c>
      <c r="X2">
        <v>4</v>
      </c>
      <c r="Y2">
        <v>3</v>
      </c>
      <c r="Z2">
        <v>6</v>
      </c>
      <c r="AA2">
        <v>7</v>
      </c>
      <c r="AB2">
        <v>4</v>
      </c>
      <c r="AC2">
        <v>8</v>
      </c>
      <c r="AD2">
        <v>3</v>
      </c>
      <c r="AE2">
        <v>0</v>
      </c>
      <c r="AF2">
        <v>0</v>
      </c>
      <c r="AG2">
        <v>7</v>
      </c>
      <c r="AH2">
        <v>4</v>
      </c>
      <c r="AI2">
        <v>4</v>
      </c>
      <c r="AJ2">
        <v>3</v>
      </c>
      <c r="AK2">
        <v>1</v>
      </c>
      <c r="AL2">
        <v>0</v>
      </c>
      <c r="AM2">
        <v>0</v>
      </c>
      <c r="AN2">
        <v>0</v>
      </c>
      <c r="AO2">
        <v>6</v>
      </c>
      <c r="AP2">
        <v>7</v>
      </c>
      <c r="AQ2">
        <v>4</v>
      </c>
      <c r="AR2">
        <v>8</v>
      </c>
      <c r="AS2">
        <v>3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2</v>
      </c>
      <c r="BA2">
        <v>2</v>
      </c>
      <c r="BB2">
        <v>0.2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2</v>
      </c>
      <c r="BK2">
        <v>0</v>
      </c>
      <c r="BL2">
        <v>2</v>
      </c>
      <c r="BM2">
        <v>0</v>
      </c>
      <c r="BN2">
        <v>48</v>
      </c>
      <c r="BO2">
        <v>42</v>
      </c>
      <c r="BP2">
        <v>7</v>
      </c>
      <c r="BQ2">
        <v>7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7</v>
      </c>
      <c r="BZ2">
        <v>6</v>
      </c>
      <c r="CA2">
        <v>0</v>
      </c>
      <c r="CB2">
        <v>0</v>
      </c>
      <c r="CC2">
        <v>38</v>
      </c>
      <c r="CD2">
        <v>27</v>
      </c>
      <c r="CE2">
        <v>22</v>
      </c>
      <c r="CF2">
        <v>2</v>
      </c>
      <c r="CG2">
        <v>2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212</v>
      </c>
      <c r="F3">
        <v>72</v>
      </c>
      <c r="G3">
        <v>62</v>
      </c>
      <c r="H3">
        <v>46</v>
      </c>
      <c r="I3">
        <v>0</v>
      </c>
      <c r="J3">
        <v>0</v>
      </c>
      <c r="K3">
        <v>1</v>
      </c>
      <c r="L3">
        <v>0</v>
      </c>
      <c r="M3">
        <v>0.12</v>
      </c>
      <c r="N3">
        <v>41</v>
      </c>
      <c r="O3">
        <v>34</v>
      </c>
      <c r="P3">
        <v>3</v>
      </c>
      <c r="Q3">
        <v>1</v>
      </c>
      <c r="R3">
        <v>0</v>
      </c>
      <c r="S3">
        <v>0</v>
      </c>
      <c r="T3">
        <v>0</v>
      </c>
      <c r="U3">
        <v>0</v>
      </c>
      <c r="V3">
        <v>15</v>
      </c>
      <c r="W3">
        <v>11</v>
      </c>
      <c r="X3">
        <v>5</v>
      </c>
      <c r="Y3">
        <v>3</v>
      </c>
      <c r="Z3">
        <v>4</v>
      </c>
      <c r="AA3">
        <v>16</v>
      </c>
      <c r="AB3">
        <v>7</v>
      </c>
      <c r="AC3">
        <v>11</v>
      </c>
      <c r="AD3">
        <v>1</v>
      </c>
      <c r="AE3">
        <v>0</v>
      </c>
      <c r="AF3">
        <v>0</v>
      </c>
      <c r="AG3">
        <v>6</v>
      </c>
      <c r="AH3">
        <v>6</v>
      </c>
      <c r="AI3">
        <v>5</v>
      </c>
      <c r="AJ3">
        <v>3</v>
      </c>
      <c r="AK3">
        <v>3</v>
      </c>
      <c r="AL3">
        <v>2</v>
      </c>
      <c r="AM3">
        <v>0</v>
      </c>
      <c r="AN3">
        <v>0</v>
      </c>
      <c r="AO3">
        <v>4</v>
      </c>
      <c r="AP3">
        <v>16</v>
      </c>
      <c r="AQ3">
        <v>7</v>
      </c>
      <c r="AR3">
        <v>11</v>
      </c>
      <c r="AS3">
        <v>1</v>
      </c>
      <c r="AT3">
        <v>3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1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1</v>
      </c>
      <c r="BM3">
        <v>0</v>
      </c>
      <c r="BN3">
        <v>41</v>
      </c>
      <c r="BO3">
        <v>34</v>
      </c>
      <c r="BP3">
        <v>3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0.41</v>
      </c>
      <c r="BX3">
        <v>0</v>
      </c>
      <c r="BY3">
        <v>3</v>
      </c>
      <c r="BZ3">
        <v>1</v>
      </c>
      <c r="CA3">
        <v>0</v>
      </c>
      <c r="CB3">
        <v>0</v>
      </c>
      <c r="CC3">
        <v>32</v>
      </c>
      <c r="CD3">
        <v>18</v>
      </c>
      <c r="CE3">
        <v>13</v>
      </c>
      <c r="CF3">
        <v>4</v>
      </c>
      <c r="CG3">
        <v>4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212</v>
      </c>
      <c r="F4">
        <v>100</v>
      </c>
      <c r="G4">
        <v>74</v>
      </c>
      <c r="H4">
        <v>47</v>
      </c>
      <c r="I4">
        <v>0</v>
      </c>
      <c r="J4">
        <v>0</v>
      </c>
      <c r="K4">
        <v>0</v>
      </c>
      <c r="L4">
        <v>0</v>
      </c>
      <c r="M4">
        <v>0</v>
      </c>
      <c r="N4">
        <v>36</v>
      </c>
      <c r="O4">
        <v>27</v>
      </c>
      <c r="P4">
        <v>7</v>
      </c>
      <c r="Q4">
        <v>4</v>
      </c>
      <c r="R4">
        <v>1</v>
      </c>
      <c r="S4">
        <v>1</v>
      </c>
      <c r="T4">
        <v>0</v>
      </c>
      <c r="U4">
        <v>0</v>
      </c>
      <c r="V4">
        <v>27</v>
      </c>
      <c r="W4">
        <v>20</v>
      </c>
      <c r="X4">
        <v>18</v>
      </c>
      <c r="Y4">
        <v>15</v>
      </c>
      <c r="Z4">
        <v>5</v>
      </c>
      <c r="AA4">
        <v>21</v>
      </c>
      <c r="AB4">
        <v>8</v>
      </c>
      <c r="AC4">
        <v>24</v>
      </c>
      <c r="AD4">
        <v>7</v>
      </c>
      <c r="AE4">
        <v>0</v>
      </c>
      <c r="AF4">
        <v>0</v>
      </c>
      <c r="AG4">
        <v>7</v>
      </c>
      <c r="AH4">
        <v>4</v>
      </c>
      <c r="AI4">
        <v>18</v>
      </c>
      <c r="AJ4">
        <v>15</v>
      </c>
      <c r="AK4">
        <v>1</v>
      </c>
      <c r="AL4">
        <v>1</v>
      </c>
      <c r="AM4">
        <v>0</v>
      </c>
      <c r="AN4">
        <v>0</v>
      </c>
      <c r="AO4">
        <v>5</v>
      </c>
      <c r="AP4">
        <v>21</v>
      </c>
      <c r="AQ4">
        <v>8</v>
      </c>
      <c r="AR4">
        <v>24</v>
      </c>
      <c r="AS4">
        <v>7</v>
      </c>
      <c r="AT4">
        <v>4</v>
      </c>
      <c r="AU4">
        <v>4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2</v>
      </c>
      <c r="BM4">
        <v>0</v>
      </c>
      <c r="BN4">
        <v>36</v>
      </c>
      <c r="BO4">
        <v>27</v>
      </c>
      <c r="BP4">
        <v>7</v>
      </c>
      <c r="BQ4">
        <v>4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5</v>
      </c>
      <c r="BZ4">
        <v>4</v>
      </c>
      <c r="CA4">
        <v>1</v>
      </c>
      <c r="CB4">
        <v>1</v>
      </c>
      <c r="CC4">
        <v>20</v>
      </c>
      <c r="CD4">
        <v>22</v>
      </c>
      <c r="CE4">
        <v>16</v>
      </c>
      <c r="CF4">
        <v>2</v>
      </c>
      <c r="CG4">
        <v>2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212</v>
      </c>
      <c r="F5">
        <v>95</v>
      </c>
      <c r="G5">
        <v>87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69</v>
      </c>
      <c r="O5">
        <v>58</v>
      </c>
      <c r="P5">
        <v>16</v>
      </c>
      <c r="Q5">
        <v>8</v>
      </c>
      <c r="R5">
        <v>2</v>
      </c>
      <c r="S5">
        <v>1</v>
      </c>
      <c r="T5">
        <v>2</v>
      </c>
      <c r="U5">
        <v>1</v>
      </c>
      <c r="V5">
        <v>15</v>
      </c>
      <c r="W5">
        <v>11</v>
      </c>
      <c r="X5">
        <v>4</v>
      </c>
      <c r="Y5">
        <v>3</v>
      </c>
      <c r="Z5">
        <v>6</v>
      </c>
      <c r="AA5">
        <v>11</v>
      </c>
      <c r="AB5">
        <v>4</v>
      </c>
      <c r="AC5">
        <v>18</v>
      </c>
      <c r="AD5">
        <v>3</v>
      </c>
      <c r="AE5">
        <v>0</v>
      </c>
      <c r="AF5">
        <v>0</v>
      </c>
      <c r="AG5">
        <v>5</v>
      </c>
      <c r="AH5">
        <v>5</v>
      </c>
      <c r="AI5">
        <v>4</v>
      </c>
      <c r="AJ5">
        <v>3</v>
      </c>
      <c r="AK5">
        <v>1</v>
      </c>
      <c r="AL5">
        <v>0</v>
      </c>
      <c r="AM5">
        <v>0</v>
      </c>
      <c r="AN5">
        <v>0</v>
      </c>
      <c r="AO5">
        <v>6</v>
      </c>
      <c r="AP5">
        <v>11</v>
      </c>
      <c r="AQ5">
        <v>4</v>
      </c>
      <c r="AR5">
        <v>18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2</v>
      </c>
      <c r="BE5">
        <v>1</v>
      </c>
      <c r="BF5">
        <v>2</v>
      </c>
      <c r="BG5">
        <v>1</v>
      </c>
      <c r="BH5">
        <v>5</v>
      </c>
      <c r="BI5">
        <v>3</v>
      </c>
      <c r="BJ5">
        <v>1</v>
      </c>
      <c r="BK5">
        <v>0</v>
      </c>
      <c r="BL5">
        <v>2</v>
      </c>
      <c r="BM5">
        <v>2</v>
      </c>
      <c r="BN5">
        <v>69</v>
      </c>
      <c r="BO5">
        <v>58</v>
      </c>
      <c r="BP5">
        <v>16</v>
      </c>
      <c r="BQ5">
        <v>8</v>
      </c>
      <c r="BR5">
        <v>3</v>
      </c>
      <c r="BS5">
        <v>2</v>
      </c>
      <c r="BT5">
        <v>2</v>
      </c>
      <c r="BU5">
        <v>1</v>
      </c>
      <c r="BV5">
        <v>0</v>
      </c>
      <c r="BW5">
        <v>0.21</v>
      </c>
      <c r="BX5">
        <v>0</v>
      </c>
      <c r="BY5">
        <v>11</v>
      </c>
      <c r="BZ5">
        <v>6</v>
      </c>
      <c r="CA5">
        <v>1</v>
      </c>
      <c r="CB5">
        <v>0</v>
      </c>
      <c r="CC5">
        <v>48</v>
      </c>
      <c r="CD5">
        <v>40</v>
      </c>
      <c r="CE5">
        <v>32</v>
      </c>
      <c r="CF5">
        <v>3</v>
      </c>
      <c r="CG5">
        <v>3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212</v>
      </c>
      <c r="F6">
        <v>96</v>
      </c>
      <c r="G6">
        <v>41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20</v>
      </c>
      <c r="O6">
        <v>9</v>
      </c>
      <c r="P6">
        <v>9</v>
      </c>
      <c r="Q6">
        <v>3</v>
      </c>
      <c r="R6">
        <v>0</v>
      </c>
      <c r="S6">
        <v>0</v>
      </c>
      <c r="T6">
        <v>1</v>
      </c>
      <c r="U6">
        <v>1</v>
      </c>
      <c r="V6">
        <v>14</v>
      </c>
      <c r="W6">
        <v>10</v>
      </c>
      <c r="X6">
        <v>7</v>
      </c>
      <c r="Y6">
        <v>5</v>
      </c>
      <c r="Z6">
        <v>7</v>
      </c>
      <c r="AA6">
        <v>9</v>
      </c>
      <c r="AB6">
        <v>3</v>
      </c>
      <c r="AC6">
        <v>10</v>
      </c>
      <c r="AD6">
        <v>1</v>
      </c>
      <c r="AE6">
        <v>0</v>
      </c>
      <c r="AF6">
        <v>0</v>
      </c>
      <c r="AG6">
        <v>4</v>
      </c>
      <c r="AH6">
        <v>3</v>
      </c>
      <c r="AI6">
        <v>7</v>
      </c>
      <c r="AJ6">
        <v>5</v>
      </c>
      <c r="AK6">
        <v>2</v>
      </c>
      <c r="AL6">
        <v>1</v>
      </c>
      <c r="AM6">
        <v>0</v>
      </c>
      <c r="AN6">
        <v>0</v>
      </c>
      <c r="AO6">
        <v>7</v>
      </c>
      <c r="AP6">
        <v>9</v>
      </c>
      <c r="AQ6">
        <v>3</v>
      </c>
      <c r="AR6">
        <v>10</v>
      </c>
      <c r="AS6">
        <v>1</v>
      </c>
      <c r="AT6">
        <v>3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1</v>
      </c>
      <c r="BH6">
        <v>1</v>
      </c>
      <c r="BI6">
        <v>1</v>
      </c>
      <c r="BJ6">
        <v>0</v>
      </c>
      <c r="BK6">
        <v>0</v>
      </c>
      <c r="BL6">
        <v>0</v>
      </c>
      <c r="BM6">
        <v>2</v>
      </c>
      <c r="BN6">
        <v>20</v>
      </c>
      <c r="BO6">
        <v>9</v>
      </c>
      <c r="BP6">
        <v>9</v>
      </c>
      <c r="BQ6">
        <v>3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5</v>
      </c>
      <c r="BZ6">
        <v>2</v>
      </c>
      <c r="CA6">
        <v>2</v>
      </c>
      <c r="CB6">
        <v>0</v>
      </c>
      <c r="CC6">
        <v>9</v>
      </c>
      <c r="CD6">
        <v>18</v>
      </c>
      <c r="CE6">
        <v>8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212</v>
      </c>
      <c r="F7">
        <v>101</v>
      </c>
      <c r="G7">
        <v>93</v>
      </c>
      <c r="H7">
        <v>71</v>
      </c>
      <c r="I7">
        <v>0</v>
      </c>
      <c r="J7">
        <v>0</v>
      </c>
      <c r="K7">
        <v>1</v>
      </c>
      <c r="L7">
        <v>0</v>
      </c>
      <c r="M7">
        <v>0.18</v>
      </c>
      <c r="N7">
        <v>66</v>
      </c>
      <c r="O7">
        <v>57</v>
      </c>
      <c r="P7">
        <v>15</v>
      </c>
      <c r="Q7">
        <v>11</v>
      </c>
      <c r="R7">
        <v>1</v>
      </c>
      <c r="S7">
        <v>0</v>
      </c>
      <c r="T7">
        <v>0</v>
      </c>
      <c r="U7">
        <v>0</v>
      </c>
      <c r="V7">
        <v>20</v>
      </c>
      <c r="W7">
        <v>14</v>
      </c>
      <c r="X7">
        <v>8</v>
      </c>
      <c r="Y7">
        <v>7</v>
      </c>
      <c r="Z7">
        <v>10</v>
      </c>
      <c r="AA7">
        <v>14</v>
      </c>
      <c r="AB7">
        <v>9</v>
      </c>
      <c r="AC7">
        <v>18</v>
      </c>
      <c r="AD7">
        <v>3</v>
      </c>
      <c r="AE7">
        <v>0</v>
      </c>
      <c r="AF7">
        <v>0</v>
      </c>
      <c r="AG7">
        <v>9</v>
      </c>
      <c r="AH7">
        <v>6</v>
      </c>
      <c r="AI7">
        <v>8</v>
      </c>
      <c r="AJ7">
        <v>7</v>
      </c>
      <c r="AK7">
        <v>2</v>
      </c>
      <c r="AL7">
        <v>1</v>
      </c>
      <c r="AM7">
        <v>0</v>
      </c>
      <c r="AN7">
        <v>0</v>
      </c>
      <c r="AO7">
        <v>10</v>
      </c>
      <c r="AP7">
        <v>14</v>
      </c>
      <c r="AQ7">
        <v>9</v>
      </c>
      <c r="AR7">
        <v>18</v>
      </c>
      <c r="AS7">
        <v>3</v>
      </c>
      <c r="AT7">
        <v>1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0.18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0</v>
      </c>
      <c r="BJ7">
        <v>1</v>
      </c>
      <c r="BK7">
        <v>0</v>
      </c>
      <c r="BL7">
        <v>0</v>
      </c>
      <c r="BM7">
        <v>1</v>
      </c>
      <c r="BN7">
        <v>66</v>
      </c>
      <c r="BO7">
        <v>57</v>
      </c>
      <c r="BP7">
        <v>15</v>
      </c>
      <c r="BQ7">
        <v>11</v>
      </c>
      <c r="BR7">
        <v>1</v>
      </c>
      <c r="BS7">
        <v>0</v>
      </c>
      <c r="BT7">
        <v>1</v>
      </c>
      <c r="BU7">
        <v>0</v>
      </c>
      <c r="BV7">
        <v>0</v>
      </c>
      <c r="BW7">
        <v>0.03</v>
      </c>
      <c r="BX7">
        <v>0</v>
      </c>
      <c r="BY7">
        <v>12</v>
      </c>
      <c r="BZ7">
        <v>10</v>
      </c>
      <c r="CA7">
        <v>4</v>
      </c>
      <c r="CB7">
        <v>2</v>
      </c>
      <c r="CC7">
        <v>46</v>
      </c>
      <c r="CD7">
        <v>33</v>
      </c>
      <c r="CE7">
        <v>27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212</v>
      </c>
      <c r="F8">
        <v>97</v>
      </c>
      <c r="G8">
        <v>51</v>
      </c>
      <c r="H8">
        <v>36</v>
      </c>
      <c r="I8">
        <v>0</v>
      </c>
      <c r="J8">
        <v>1</v>
      </c>
      <c r="K8">
        <v>1</v>
      </c>
      <c r="L8">
        <v>1</v>
      </c>
      <c r="M8">
        <v>0.06</v>
      </c>
      <c r="N8">
        <v>25</v>
      </c>
      <c r="O8">
        <v>20</v>
      </c>
      <c r="P8">
        <v>5</v>
      </c>
      <c r="Q8">
        <v>3</v>
      </c>
      <c r="R8">
        <v>1</v>
      </c>
      <c r="S8">
        <v>1</v>
      </c>
      <c r="T8">
        <v>1</v>
      </c>
      <c r="U8">
        <v>0</v>
      </c>
      <c r="V8">
        <v>19</v>
      </c>
      <c r="W8">
        <v>12</v>
      </c>
      <c r="X8">
        <v>6</v>
      </c>
      <c r="Y8">
        <v>3</v>
      </c>
      <c r="Z8">
        <v>5</v>
      </c>
      <c r="AA8">
        <v>11</v>
      </c>
      <c r="AB8">
        <v>3</v>
      </c>
      <c r="AC8">
        <v>11</v>
      </c>
      <c r="AD8">
        <v>1</v>
      </c>
      <c r="AE8">
        <v>0</v>
      </c>
      <c r="AF8">
        <v>0</v>
      </c>
      <c r="AG8">
        <v>10</v>
      </c>
      <c r="AH8">
        <v>7</v>
      </c>
      <c r="AI8">
        <v>6</v>
      </c>
      <c r="AJ8">
        <v>3</v>
      </c>
      <c r="AK8">
        <v>1</v>
      </c>
      <c r="AL8">
        <v>1</v>
      </c>
      <c r="AM8">
        <v>0</v>
      </c>
      <c r="AN8">
        <v>0</v>
      </c>
      <c r="AO8">
        <v>5</v>
      </c>
      <c r="AP8">
        <v>11</v>
      </c>
      <c r="AQ8">
        <v>3</v>
      </c>
      <c r="AR8">
        <v>11</v>
      </c>
      <c r="AS8">
        <v>1</v>
      </c>
      <c r="AT8">
        <v>5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1</v>
      </c>
      <c r="BD8">
        <v>1</v>
      </c>
      <c r="BE8">
        <v>1</v>
      </c>
      <c r="BF8">
        <v>1</v>
      </c>
      <c r="BG8">
        <v>0</v>
      </c>
      <c r="BH8">
        <v>2</v>
      </c>
      <c r="BI8">
        <v>1</v>
      </c>
      <c r="BJ8">
        <v>1</v>
      </c>
      <c r="BK8">
        <v>0</v>
      </c>
      <c r="BL8">
        <v>2</v>
      </c>
      <c r="BM8">
        <v>0</v>
      </c>
      <c r="BN8">
        <v>25</v>
      </c>
      <c r="BO8">
        <v>20</v>
      </c>
      <c r="BP8">
        <v>5</v>
      </c>
      <c r="BQ8">
        <v>3</v>
      </c>
      <c r="BR8">
        <v>0</v>
      </c>
      <c r="BS8">
        <v>0</v>
      </c>
      <c r="BT8">
        <v>1</v>
      </c>
      <c r="BU8">
        <v>1</v>
      </c>
      <c r="BV8">
        <v>1</v>
      </c>
      <c r="BW8">
        <v>0.01</v>
      </c>
      <c r="BX8">
        <v>0</v>
      </c>
      <c r="BY8">
        <v>6</v>
      </c>
      <c r="BZ8">
        <v>3</v>
      </c>
      <c r="CA8">
        <v>2</v>
      </c>
      <c r="CB8">
        <v>1</v>
      </c>
      <c r="CC8">
        <v>11</v>
      </c>
      <c r="CD8">
        <v>17</v>
      </c>
      <c r="CE8">
        <v>12</v>
      </c>
      <c r="CF8">
        <v>3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212</v>
      </c>
      <c r="F9">
        <v>100</v>
      </c>
      <c r="G9">
        <v>65</v>
      </c>
      <c r="H9">
        <v>46</v>
      </c>
      <c r="I9">
        <v>1</v>
      </c>
      <c r="J9">
        <v>0</v>
      </c>
      <c r="K9">
        <v>2</v>
      </c>
      <c r="L9">
        <v>1</v>
      </c>
      <c r="M9">
        <v>0.37</v>
      </c>
      <c r="N9">
        <v>35</v>
      </c>
      <c r="O9">
        <v>26</v>
      </c>
      <c r="P9">
        <v>10</v>
      </c>
      <c r="Q9">
        <v>5</v>
      </c>
      <c r="R9">
        <v>1</v>
      </c>
      <c r="S9">
        <v>0</v>
      </c>
      <c r="T9">
        <v>0</v>
      </c>
      <c r="U9">
        <v>0</v>
      </c>
      <c r="V9">
        <v>23</v>
      </c>
      <c r="W9">
        <v>17</v>
      </c>
      <c r="X9">
        <v>12</v>
      </c>
      <c r="Y9">
        <v>8</v>
      </c>
      <c r="Z9">
        <v>2</v>
      </c>
      <c r="AA9">
        <v>13</v>
      </c>
      <c r="AB9">
        <v>1</v>
      </c>
      <c r="AC9">
        <v>19</v>
      </c>
      <c r="AD9">
        <v>2</v>
      </c>
      <c r="AE9">
        <v>94</v>
      </c>
      <c r="AF9">
        <v>0</v>
      </c>
      <c r="AG9">
        <v>7</v>
      </c>
      <c r="AH9">
        <v>6</v>
      </c>
      <c r="AI9">
        <v>12</v>
      </c>
      <c r="AJ9">
        <v>8</v>
      </c>
      <c r="AK9">
        <v>2</v>
      </c>
      <c r="AL9">
        <v>2</v>
      </c>
      <c r="AM9">
        <v>0</v>
      </c>
      <c r="AN9">
        <v>0</v>
      </c>
      <c r="AO9">
        <v>2</v>
      </c>
      <c r="AP9">
        <v>13</v>
      </c>
      <c r="AQ9">
        <v>1</v>
      </c>
      <c r="AR9">
        <v>19</v>
      </c>
      <c r="AS9">
        <v>2</v>
      </c>
      <c r="AT9">
        <v>1</v>
      </c>
      <c r="AU9">
        <v>0</v>
      </c>
      <c r="AV9">
        <v>1</v>
      </c>
      <c r="AW9">
        <v>0</v>
      </c>
      <c r="AX9">
        <v>1</v>
      </c>
      <c r="AY9">
        <v>0</v>
      </c>
      <c r="AZ9">
        <v>2</v>
      </c>
      <c r="BA9">
        <v>1</v>
      </c>
      <c r="BB9">
        <v>0.37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1</v>
      </c>
      <c r="BJ9">
        <v>1</v>
      </c>
      <c r="BK9">
        <v>0</v>
      </c>
      <c r="BL9">
        <v>1</v>
      </c>
      <c r="BM9">
        <v>2</v>
      </c>
      <c r="BN9">
        <v>35</v>
      </c>
      <c r="BO9">
        <v>26</v>
      </c>
      <c r="BP9">
        <v>10</v>
      </c>
      <c r="BQ9">
        <v>5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9</v>
      </c>
      <c r="BZ9">
        <v>5</v>
      </c>
      <c r="CA9">
        <v>2</v>
      </c>
      <c r="CB9">
        <v>0</v>
      </c>
      <c r="CC9">
        <v>19</v>
      </c>
      <c r="CD9">
        <v>18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212</v>
      </c>
      <c r="F10">
        <v>93</v>
      </c>
      <c r="G10">
        <v>65</v>
      </c>
      <c r="H10">
        <v>40</v>
      </c>
      <c r="I10">
        <v>1</v>
      </c>
      <c r="J10">
        <v>0</v>
      </c>
      <c r="K10">
        <v>2</v>
      </c>
      <c r="L10">
        <v>1</v>
      </c>
      <c r="M10">
        <v>0.22</v>
      </c>
      <c r="N10">
        <v>33</v>
      </c>
      <c r="O10">
        <v>25</v>
      </c>
      <c r="P10">
        <v>11</v>
      </c>
      <c r="Q10">
        <v>7</v>
      </c>
      <c r="R10">
        <v>2</v>
      </c>
      <c r="S10">
        <v>0</v>
      </c>
      <c r="T10">
        <v>0</v>
      </c>
      <c r="U10">
        <v>0</v>
      </c>
      <c r="V10">
        <v>17</v>
      </c>
      <c r="W10">
        <v>12</v>
      </c>
      <c r="X10">
        <v>8</v>
      </c>
      <c r="Y10">
        <v>6</v>
      </c>
      <c r="Z10">
        <v>5</v>
      </c>
      <c r="AA10">
        <v>18</v>
      </c>
      <c r="AB10">
        <v>8</v>
      </c>
      <c r="AC10">
        <v>16</v>
      </c>
      <c r="AD10">
        <v>2</v>
      </c>
      <c r="AE10">
        <v>0</v>
      </c>
      <c r="AF10">
        <v>0</v>
      </c>
      <c r="AG10">
        <v>7</v>
      </c>
      <c r="AH10">
        <v>6</v>
      </c>
      <c r="AI10">
        <v>8</v>
      </c>
      <c r="AJ10">
        <v>6</v>
      </c>
      <c r="AK10">
        <v>2</v>
      </c>
      <c r="AL10">
        <v>0</v>
      </c>
      <c r="AM10">
        <v>1</v>
      </c>
      <c r="AN10">
        <v>0</v>
      </c>
      <c r="AO10">
        <v>5</v>
      </c>
      <c r="AP10">
        <v>18</v>
      </c>
      <c r="AQ10">
        <v>8</v>
      </c>
      <c r="AR10">
        <v>16</v>
      </c>
      <c r="AS10">
        <v>2</v>
      </c>
      <c r="AT10">
        <v>10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0.22</v>
      </c>
      <c r="BC10">
        <v>0</v>
      </c>
      <c r="BD10">
        <v>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3</v>
      </c>
      <c r="BK10">
        <v>0</v>
      </c>
      <c r="BL10">
        <v>0</v>
      </c>
      <c r="BM10">
        <v>0</v>
      </c>
      <c r="BN10">
        <v>33</v>
      </c>
      <c r="BO10">
        <v>25</v>
      </c>
      <c r="BP10">
        <v>11</v>
      </c>
      <c r="BQ10">
        <v>7</v>
      </c>
      <c r="BR10">
        <v>0</v>
      </c>
      <c r="BS10">
        <v>0</v>
      </c>
      <c r="BT10">
        <v>2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5</v>
      </c>
      <c r="CA10">
        <v>2</v>
      </c>
      <c r="CB10">
        <v>1</v>
      </c>
      <c r="CC10">
        <v>11</v>
      </c>
      <c r="CD10">
        <v>23</v>
      </c>
      <c r="CE10">
        <v>16</v>
      </c>
      <c r="CF10">
        <v>4</v>
      </c>
      <c r="CG10">
        <v>4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212</v>
      </c>
      <c r="F11">
        <v>98</v>
      </c>
      <c r="G11">
        <v>71</v>
      </c>
      <c r="H11">
        <v>58</v>
      </c>
      <c r="I11">
        <v>0</v>
      </c>
      <c r="J11">
        <v>0</v>
      </c>
      <c r="K11">
        <v>1</v>
      </c>
      <c r="L11">
        <v>1</v>
      </c>
      <c r="M11">
        <v>0.09</v>
      </c>
      <c r="N11">
        <v>49</v>
      </c>
      <c r="O11">
        <v>44</v>
      </c>
      <c r="P11">
        <v>6</v>
      </c>
      <c r="Q11">
        <v>4</v>
      </c>
      <c r="R11">
        <v>0</v>
      </c>
      <c r="S11">
        <v>0</v>
      </c>
      <c r="T11">
        <v>0</v>
      </c>
      <c r="U11">
        <v>0</v>
      </c>
      <c r="V11">
        <v>15</v>
      </c>
      <c r="W11">
        <v>10</v>
      </c>
      <c r="X11">
        <v>6</v>
      </c>
      <c r="Y11">
        <v>3</v>
      </c>
      <c r="Z11">
        <v>3</v>
      </c>
      <c r="AA11">
        <v>9</v>
      </c>
      <c r="AB11">
        <v>3</v>
      </c>
      <c r="AC11">
        <v>9</v>
      </c>
      <c r="AD11">
        <v>0</v>
      </c>
      <c r="AE11">
        <v>0</v>
      </c>
      <c r="AF11">
        <v>0</v>
      </c>
      <c r="AG11">
        <v>7</v>
      </c>
      <c r="AH11">
        <v>5</v>
      </c>
      <c r="AI11">
        <v>6</v>
      </c>
      <c r="AJ11">
        <v>3</v>
      </c>
      <c r="AK11">
        <v>2</v>
      </c>
      <c r="AL11">
        <v>2</v>
      </c>
      <c r="AM11">
        <v>0</v>
      </c>
      <c r="AN11">
        <v>0</v>
      </c>
      <c r="AO11">
        <v>3</v>
      </c>
      <c r="AP11">
        <v>9</v>
      </c>
      <c r="AQ11">
        <v>3</v>
      </c>
      <c r="AR11">
        <v>9</v>
      </c>
      <c r="AS11">
        <v>0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1</v>
      </c>
      <c r="BB11">
        <v>0.09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0</v>
      </c>
      <c r="BM11">
        <v>1</v>
      </c>
      <c r="BN11">
        <v>49</v>
      </c>
      <c r="BO11">
        <v>44</v>
      </c>
      <c r="BP11">
        <v>6</v>
      </c>
      <c r="BQ11">
        <v>4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1</v>
      </c>
      <c r="CB11">
        <v>0</v>
      </c>
      <c r="CC11">
        <v>39</v>
      </c>
      <c r="CD11">
        <v>16</v>
      </c>
      <c r="CE11">
        <v>13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223</v>
      </c>
      <c r="F12">
        <v>99</v>
      </c>
      <c r="G12">
        <v>96</v>
      </c>
      <c r="H12">
        <v>76</v>
      </c>
      <c r="I12">
        <v>0</v>
      </c>
      <c r="J12">
        <v>0</v>
      </c>
      <c r="K12">
        <v>2</v>
      </c>
      <c r="L12">
        <v>1</v>
      </c>
      <c r="M12">
        <v>0.06</v>
      </c>
      <c r="N12">
        <v>67</v>
      </c>
      <c r="O12">
        <v>56</v>
      </c>
      <c r="P12">
        <v>16</v>
      </c>
      <c r="Q12">
        <v>9</v>
      </c>
      <c r="R12">
        <v>0</v>
      </c>
      <c r="S12">
        <v>0</v>
      </c>
      <c r="T12">
        <v>1</v>
      </c>
      <c r="U12">
        <v>1</v>
      </c>
      <c r="V12">
        <v>21</v>
      </c>
      <c r="W12">
        <v>16</v>
      </c>
      <c r="X12">
        <v>6</v>
      </c>
      <c r="Y12">
        <v>6</v>
      </c>
      <c r="Z12">
        <v>1</v>
      </c>
      <c r="AA12">
        <v>13</v>
      </c>
      <c r="AB12">
        <v>3</v>
      </c>
      <c r="AC12">
        <v>15</v>
      </c>
      <c r="AD12">
        <v>4</v>
      </c>
      <c r="AE12">
        <v>0</v>
      </c>
      <c r="AF12">
        <v>0</v>
      </c>
      <c r="AG12">
        <v>11</v>
      </c>
      <c r="AH12">
        <v>8</v>
      </c>
      <c r="AI12">
        <v>6</v>
      </c>
      <c r="AJ12">
        <v>6</v>
      </c>
      <c r="AK12">
        <v>2</v>
      </c>
      <c r="AL12">
        <v>1</v>
      </c>
      <c r="AM12">
        <v>1</v>
      </c>
      <c r="AN12">
        <v>0</v>
      </c>
      <c r="AO12">
        <v>1</v>
      </c>
      <c r="AP12">
        <v>13</v>
      </c>
      <c r="AQ12">
        <v>3</v>
      </c>
      <c r="AR12">
        <v>15</v>
      </c>
      <c r="AS12">
        <v>4</v>
      </c>
      <c r="AT12">
        <v>2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0.06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1</v>
      </c>
      <c r="BJ12">
        <v>0</v>
      </c>
      <c r="BK12">
        <v>0</v>
      </c>
      <c r="BL12">
        <v>4</v>
      </c>
      <c r="BM12">
        <v>1</v>
      </c>
      <c r="BN12">
        <v>67</v>
      </c>
      <c r="BO12">
        <v>56</v>
      </c>
      <c r="BP12">
        <v>16</v>
      </c>
      <c r="BQ12">
        <v>9</v>
      </c>
      <c r="BR12">
        <v>3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</v>
      </c>
      <c r="BZ12">
        <v>8</v>
      </c>
      <c r="CA12">
        <v>2</v>
      </c>
      <c r="CB12">
        <v>1</v>
      </c>
      <c r="CC12">
        <v>51</v>
      </c>
      <c r="CD12">
        <v>28</v>
      </c>
      <c r="CE12">
        <v>21</v>
      </c>
      <c r="CF12">
        <v>3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212</v>
      </c>
      <c r="F13">
        <v>94</v>
      </c>
      <c r="G13">
        <v>85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61</v>
      </c>
      <c r="O13">
        <v>46</v>
      </c>
      <c r="P13">
        <v>13</v>
      </c>
      <c r="Q13">
        <v>7</v>
      </c>
      <c r="R13">
        <v>0</v>
      </c>
      <c r="S13">
        <v>0</v>
      </c>
      <c r="T13">
        <v>1</v>
      </c>
      <c r="U13">
        <v>0</v>
      </c>
      <c r="V13">
        <v>15</v>
      </c>
      <c r="W13">
        <v>11</v>
      </c>
      <c r="X13">
        <v>7</v>
      </c>
      <c r="Y13">
        <v>6</v>
      </c>
      <c r="Z13">
        <v>3</v>
      </c>
      <c r="AA13">
        <v>15</v>
      </c>
      <c r="AB13">
        <v>5</v>
      </c>
      <c r="AC13">
        <v>12</v>
      </c>
      <c r="AD13">
        <v>2</v>
      </c>
      <c r="AE13">
        <v>0</v>
      </c>
      <c r="AF13">
        <v>0</v>
      </c>
      <c r="AG13">
        <v>5</v>
      </c>
      <c r="AH13">
        <v>3</v>
      </c>
      <c r="AI13">
        <v>7</v>
      </c>
      <c r="AJ13">
        <v>6</v>
      </c>
      <c r="AK13">
        <v>1</v>
      </c>
      <c r="AL13">
        <v>1</v>
      </c>
      <c r="AM13">
        <v>1</v>
      </c>
      <c r="AN13">
        <v>1</v>
      </c>
      <c r="AO13">
        <v>3</v>
      </c>
      <c r="AP13">
        <v>15</v>
      </c>
      <c r="AQ13">
        <v>5</v>
      </c>
      <c r="AR13">
        <v>12</v>
      </c>
      <c r="AS13">
        <v>2</v>
      </c>
      <c r="AT13">
        <v>4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0</v>
      </c>
      <c r="BL13">
        <v>1</v>
      </c>
      <c r="BM13">
        <v>2</v>
      </c>
      <c r="BN13">
        <v>61</v>
      </c>
      <c r="BO13">
        <v>46</v>
      </c>
      <c r="BP13">
        <v>13</v>
      </c>
      <c r="BQ13">
        <v>7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0.04</v>
      </c>
      <c r="BX13">
        <v>0</v>
      </c>
      <c r="BY13">
        <v>18</v>
      </c>
      <c r="BZ13">
        <v>10</v>
      </c>
      <c r="CA13">
        <v>1</v>
      </c>
      <c r="CB13">
        <v>0</v>
      </c>
      <c r="CC13">
        <v>39</v>
      </c>
      <c r="CD13">
        <v>43</v>
      </c>
      <c r="CE13">
        <v>29</v>
      </c>
      <c r="CF13">
        <v>1</v>
      </c>
      <c r="CG13">
        <v>1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212</v>
      </c>
      <c r="F14">
        <v>102</v>
      </c>
      <c r="G14">
        <v>72</v>
      </c>
      <c r="H14">
        <v>48</v>
      </c>
      <c r="I14">
        <v>0</v>
      </c>
      <c r="J14">
        <v>0</v>
      </c>
      <c r="K14">
        <v>0</v>
      </c>
      <c r="L14">
        <v>0</v>
      </c>
      <c r="M14">
        <v>0</v>
      </c>
      <c r="N14">
        <v>56</v>
      </c>
      <c r="O14">
        <v>43</v>
      </c>
      <c r="P14">
        <v>2</v>
      </c>
      <c r="Q14">
        <v>1</v>
      </c>
      <c r="R14">
        <v>2</v>
      </c>
      <c r="S14">
        <v>0</v>
      </c>
      <c r="T14">
        <v>0</v>
      </c>
      <c r="U14">
        <v>0</v>
      </c>
      <c r="V14">
        <v>9</v>
      </c>
      <c r="W14">
        <v>5</v>
      </c>
      <c r="X14">
        <v>5</v>
      </c>
      <c r="Y14">
        <v>5</v>
      </c>
      <c r="Z14">
        <v>6</v>
      </c>
      <c r="AA14">
        <v>7</v>
      </c>
      <c r="AB14">
        <v>4</v>
      </c>
      <c r="AC14">
        <v>8</v>
      </c>
      <c r="AD14">
        <v>3</v>
      </c>
      <c r="AE14">
        <v>0</v>
      </c>
      <c r="AF14">
        <v>1</v>
      </c>
      <c r="AG14">
        <v>2</v>
      </c>
      <c r="AH14">
        <v>0</v>
      </c>
      <c r="AI14">
        <v>5</v>
      </c>
      <c r="AJ14">
        <v>5</v>
      </c>
      <c r="AK14">
        <v>1</v>
      </c>
      <c r="AL14">
        <v>0</v>
      </c>
      <c r="AM14">
        <v>0</v>
      </c>
      <c r="AN14">
        <v>0</v>
      </c>
      <c r="AO14">
        <v>6</v>
      </c>
      <c r="AP14">
        <v>7</v>
      </c>
      <c r="AQ14">
        <v>4</v>
      </c>
      <c r="AR14">
        <v>8</v>
      </c>
      <c r="AS14">
        <v>3</v>
      </c>
      <c r="AT14">
        <v>0</v>
      </c>
      <c r="AU14">
        <v>1</v>
      </c>
      <c r="AV14">
        <v>0</v>
      </c>
      <c r="AW14">
        <v>1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0</v>
      </c>
      <c r="BG14">
        <v>0</v>
      </c>
      <c r="BH14">
        <v>1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56</v>
      </c>
      <c r="BO14">
        <v>43</v>
      </c>
      <c r="BP14">
        <v>2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9</v>
      </c>
      <c r="BZ14">
        <v>7</v>
      </c>
      <c r="CA14">
        <v>0</v>
      </c>
      <c r="CB14">
        <v>0</v>
      </c>
      <c r="CC14">
        <v>43</v>
      </c>
      <c r="CD14">
        <v>27</v>
      </c>
      <c r="CE14">
        <v>20</v>
      </c>
      <c r="CF14">
        <v>7</v>
      </c>
      <c r="CG14">
        <v>6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224</v>
      </c>
      <c r="F15">
        <v>106</v>
      </c>
      <c r="G15">
        <v>35</v>
      </c>
      <c r="H15">
        <v>27</v>
      </c>
      <c r="I15">
        <v>1</v>
      </c>
      <c r="J15">
        <v>0</v>
      </c>
      <c r="K15">
        <v>1</v>
      </c>
      <c r="L15">
        <v>1</v>
      </c>
      <c r="M15">
        <v>0.11</v>
      </c>
      <c r="N15">
        <v>21</v>
      </c>
      <c r="O15">
        <v>17</v>
      </c>
      <c r="P15">
        <v>6</v>
      </c>
      <c r="Q15">
        <v>4</v>
      </c>
      <c r="R15">
        <v>0</v>
      </c>
      <c r="S15">
        <v>0</v>
      </c>
      <c r="T15">
        <v>0</v>
      </c>
      <c r="U15">
        <v>0</v>
      </c>
      <c r="V15">
        <v>7</v>
      </c>
      <c r="W15">
        <v>6</v>
      </c>
      <c r="X15">
        <v>1</v>
      </c>
      <c r="Y15">
        <v>1</v>
      </c>
      <c r="Z15">
        <v>1</v>
      </c>
      <c r="AA15">
        <v>8</v>
      </c>
      <c r="AB15">
        <v>4</v>
      </c>
      <c r="AC15">
        <v>10</v>
      </c>
      <c r="AD15">
        <v>3</v>
      </c>
      <c r="AE15">
        <v>0</v>
      </c>
      <c r="AF15">
        <v>0</v>
      </c>
      <c r="AG15">
        <v>4</v>
      </c>
      <c r="AH15">
        <v>3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8</v>
      </c>
      <c r="AQ15">
        <v>4</v>
      </c>
      <c r="AR15">
        <v>10</v>
      </c>
      <c r="AS15">
        <v>3</v>
      </c>
      <c r="AT15">
        <v>0</v>
      </c>
      <c r="AU15">
        <v>1</v>
      </c>
      <c r="AV15">
        <v>0</v>
      </c>
      <c r="AW15">
        <v>0</v>
      </c>
      <c r="AX15">
        <v>1</v>
      </c>
      <c r="AY15">
        <v>0</v>
      </c>
      <c r="AZ15">
        <v>1</v>
      </c>
      <c r="BA15">
        <v>1</v>
      </c>
      <c r="BB15">
        <v>0.11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</v>
      </c>
      <c r="BI15">
        <v>2</v>
      </c>
      <c r="BJ15">
        <v>1</v>
      </c>
      <c r="BK15">
        <v>0</v>
      </c>
      <c r="BL15">
        <v>0</v>
      </c>
      <c r="BM15">
        <v>3</v>
      </c>
      <c r="BN15">
        <v>21</v>
      </c>
      <c r="BO15">
        <v>17</v>
      </c>
      <c r="BP15">
        <v>6</v>
      </c>
      <c r="BQ15">
        <v>4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4</v>
      </c>
      <c r="BZ15">
        <v>2</v>
      </c>
      <c r="CA15">
        <v>0</v>
      </c>
      <c r="CB15">
        <v>0</v>
      </c>
      <c r="CC15">
        <v>17</v>
      </c>
      <c r="CD15">
        <v>13</v>
      </c>
      <c r="CE15">
        <v>11</v>
      </c>
      <c r="CF15">
        <v>2</v>
      </c>
      <c r="CG15">
        <v>2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X1:Y1"/>
    <mergeCell ref="BT1:BU1"/>
    <mergeCell ref="AR1:AS1"/>
    <mergeCell ref="BF1:BG1"/>
    <mergeCell ref="K1:L1"/>
    <mergeCell ref="AP1:AQ1"/>
    <mergeCell ref="R1:S1"/>
    <mergeCell ref="N1:O1"/>
    <mergeCell ref="AM1:AN1"/>
    <mergeCell ref="T1:U1"/>
    <mergeCell ref="AK1:AL1"/>
    <mergeCell ref="AC1:AD1"/>
    <mergeCell ref="P1:Q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G15"/>
  <sheetViews>
    <sheetView zoomScale="112" workbookViewId="0">
      <selection activeCell="B7" sqref="B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t="s">
        <v>197</v>
      </c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225</v>
      </c>
      <c r="F2">
        <v>75</v>
      </c>
      <c r="G2">
        <v>40</v>
      </c>
      <c r="H2">
        <v>24</v>
      </c>
      <c r="I2">
        <v>0</v>
      </c>
      <c r="J2">
        <v>0</v>
      </c>
      <c r="K2">
        <v>0</v>
      </c>
      <c r="L2">
        <v>0</v>
      </c>
      <c r="M2">
        <v>0</v>
      </c>
      <c r="N2">
        <v>25</v>
      </c>
      <c r="O2">
        <v>19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9</v>
      </c>
      <c r="W2">
        <v>5</v>
      </c>
      <c r="X2">
        <v>1</v>
      </c>
      <c r="Y2">
        <v>0</v>
      </c>
      <c r="Z2">
        <v>3</v>
      </c>
      <c r="AA2">
        <v>8</v>
      </c>
      <c r="AB2">
        <v>2</v>
      </c>
      <c r="AC2">
        <v>4</v>
      </c>
      <c r="AD2">
        <v>2</v>
      </c>
      <c r="AE2">
        <v>0</v>
      </c>
      <c r="AF2">
        <v>0</v>
      </c>
      <c r="AG2">
        <v>5</v>
      </c>
      <c r="AH2">
        <v>4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3</v>
      </c>
      <c r="AP2">
        <v>8</v>
      </c>
      <c r="AQ2">
        <v>2</v>
      </c>
      <c r="AR2">
        <v>4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</v>
      </c>
      <c r="BE2">
        <v>0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2</v>
      </c>
      <c r="BM2">
        <v>1</v>
      </c>
      <c r="BN2">
        <v>25</v>
      </c>
      <c r="BO2">
        <v>19</v>
      </c>
      <c r="BP2">
        <v>1</v>
      </c>
      <c r="BQ2">
        <v>0</v>
      </c>
      <c r="BR2">
        <v>1</v>
      </c>
      <c r="BS2">
        <v>0</v>
      </c>
      <c r="BT2">
        <v>1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1</v>
      </c>
      <c r="CB2">
        <v>0</v>
      </c>
      <c r="CC2">
        <v>14</v>
      </c>
      <c r="CD2">
        <v>4</v>
      </c>
      <c r="CE2">
        <v>2</v>
      </c>
      <c r="CF2">
        <v>9</v>
      </c>
      <c r="CG2">
        <v>8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225</v>
      </c>
      <c r="F3">
        <v>96</v>
      </c>
      <c r="G3">
        <v>66</v>
      </c>
      <c r="H3">
        <v>44</v>
      </c>
      <c r="I3">
        <v>0</v>
      </c>
      <c r="J3">
        <v>0</v>
      </c>
      <c r="K3">
        <v>0</v>
      </c>
      <c r="L3">
        <v>0</v>
      </c>
      <c r="M3">
        <v>0</v>
      </c>
      <c r="N3">
        <v>43</v>
      </c>
      <c r="O3">
        <v>31</v>
      </c>
      <c r="P3">
        <v>4</v>
      </c>
      <c r="Q3">
        <v>1</v>
      </c>
      <c r="R3">
        <v>1</v>
      </c>
      <c r="S3">
        <v>0</v>
      </c>
      <c r="T3">
        <v>4</v>
      </c>
      <c r="U3">
        <v>3</v>
      </c>
      <c r="V3">
        <v>15</v>
      </c>
      <c r="W3">
        <v>13</v>
      </c>
      <c r="X3">
        <v>0</v>
      </c>
      <c r="Y3">
        <v>0</v>
      </c>
      <c r="Z3">
        <v>4</v>
      </c>
      <c r="AA3">
        <v>12</v>
      </c>
      <c r="AB3">
        <v>5</v>
      </c>
      <c r="AC3">
        <v>5</v>
      </c>
      <c r="AD3">
        <v>3</v>
      </c>
      <c r="AE3">
        <v>0</v>
      </c>
      <c r="AF3">
        <v>0</v>
      </c>
      <c r="AG3">
        <v>8</v>
      </c>
      <c r="AH3">
        <v>8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4</v>
      </c>
      <c r="AP3">
        <v>12</v>
      </c>
      <c r="AQ3">
        <v>5</v>
      </c>
      <c r="AR3">
        <v>5</v>
      </c>
      <c r="AS3">
        <v>3</v>
      </c>
      <c r="AT3">
        <v>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4</v>
      </c>
      <c r="BG3">
        <v>3</v>
      </c>
      <c r="BH3">
        <v>6</v>
      </c>
      <c r="BI3">
        <v>4</v>
      </c>
      <c r="BJ3">
        <v>2</v>
      </c>
      <c r="BK3">
        <v>1</v>
      </c>
      <c r="BL3">
        <v>2</v>
      </c>
      <c r="BM3">
        <v>3</v>
      </c>
      <c r="BN3">
        <v>43</v>
      </c>
      <c r="BO3">
        <v>31</v>
      </c>
      <c r="BP3">
        <v>4</v>
      </c>
      <c r="BQ3">
        <v>1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2</v>
      </c>
      <c r="CB3">
        <v>1</v>
      </c>
      <c r="CC3">
        <v>26</v>
      </c>
      <c r="CD3">
        <v>16</v>
      </c>
      <c r="CE3">
        <v>8</v>
      </c>
      <c r="CF3">
        <v>9</v>
      </c>
      <c r="CG3">
        <v>9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225</v>
      </c>
      <c r="F4">
        <v>100</v>
      </c>
      <c r="G4">
        <v>53</v>
      </c>
      <c r="H4">
        <v>29</v>
      </c>
      <c r="I4">
        <v>0</v>
      </c>
      <c r="J4">
        <v>0</v>
      </c>
      <c r="K4">
        <v>1</v>
      </c>
      <c r="L4">
        <v>0</v>
      </c>
      <c r="M4">
        <v>0.02</v>
      </c>
      <c r="N4">
        <v>34</v>
      </c>
      <c r="O4">
        <v>24</v>
      </c>
      <c r="P4">
        <v>3</v>
      </c>
      <c r="Q4">
        <v>2</v>
      </c>
      <c r="R4">
        <v>3</v>
      </c>
      <c r="S4">
        <v>0</v>
      </c>
      <c r="T4">
        <v>2</v>
      </c>
      <c r="U4">
        <v>1</v>
      </c>
      <c r="V4">
        <v>13</v>
      </c>
      <c r="W4">
        <v>5</v>
      </c>
      <c r="X4">
        <v>2</v>
      </c>
      <c r="Y4">
        <v>1</v>
      </c>
      <c r="Z4">
        <v>4</v>
      </c>
      <c r="AA4">
        <v>13</v>
      </c>
      <c r="AB4">
        <v>5</v>
      </c>
      <c r="AC4">
        <v>5</v>
      </c>
      <c r="AD4">
        <v>1</v>
      </c>
      <c r="AE4">
        <v>0</v>
      </c>
      <c r="AF4">
        <v>0</v>
      </c>
      <c r="AG4">
        <v>4</v>
      </c>
      <c r="AH4">
        <v>2</v>
      </c>
      <c r="AI4">
        <v>2</v>
      </c>
      <c r="AJ4">
        <v>1</v>
      </c>
      <c r="AK4">
        <v>3</v>
      </c>
      <c r="AL4">
        <v>1</v>
      </c>
      <c r="AM4">
        <v>0</v>
      </c>
      <c r="AN4">
        <v>0</v>
      </c>
      <c r="AO4">
        <v>4</v>
      </c>
      <c r="AP4">
        <v>13</v>
      </c>
      <c r="AQ4">
        <v>5</v>
      </c>
      <c r="AR4">
        <v>5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0.02</v>
      </c>
      <c r="BC4">
        <v>0</v>
      </c>
      <c r="BD4">
        <v>3</v>
      </c>
      <c r="BE4">
        <v>0</v>
      </c>
      <c r="BF4">
        <v>2</v>
      </c>
      <c r="BG4">
        <v>1</v>
      </c>
      <c r="BH4">
        <v>4</v>
      </c>
      <c r="BI4">
        <v>1</v>
      </c>
      <c r="BJ4">
        <v>2</v>
      </c>
      <c r="BK4">
        <v>0</v>
      </c>
      <c r="BL4">
        <v>1</v>
      </c>
      <c r="BM4">
        <v>0</v>
      </c>
      <c r="BN4">
        <v>34</v>
      </c>
      <c r="BO4">
        <v>24</v>
      </c>
      <c r="BP4">
        <v>3</v>
      </c>
      <c r="BQ4">
        <v>2</v>
      </c>
      <c r="BR4">
        <v>0</v>
      </c>
      <c r="BS4">
        <v>0</v>
      </c>
      <c r="BT4">
        <v>3</v>
      </c>
      <c r="BU4">
        <v>0</v>
      </c>
      <c r="BV4">
        <v>0</v>
      </c>
      <c r="BW4">
        <v>0</v>
      </c>
      <c r="BX4">
        <v>0</v>
      </c>
      <c r="BY4">
        <v>4</v>
      </c>
      <c r="BZ4">
        <v>3</v>
      </c>
      <c r="CA4">
        <v>3</v>
      </c>
      <c r="CB4">
        <v>0</v>
      </c>
      <c r="CC4">
        <v>22</v>
      </c>
      <c r="CD4">
        <v>11</v>
      </c>
      <c r="CE4">
        <v>8</v>
      </c>
      <c r="CF4">
        <v>7</v>
      </c>
      <c r="CG4">
        <v>7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225</v>
      </c>
      <c r="F5">
        <v>95</v>
      </c>
      <c r="G5">
        <v>85</v>
      </c>
      <c r="H5">
        <v>55</v>
      </c>
      <c r="I5">
        <v>0</v>
      </c>
      <c r="J5">
        <v>0</v>
      </c>
      <c r="K5">
        <v>1</v>
      </c>
      <c r="L5">
        <v>1</v>
      </c>
      <c r="M5">
        <v>0.08</v>
      </c>
      <c r="N5">
        <v>56</v>
      </c>
      <c r="O5">
        <v>42</v>
      </c>
      <c r="P5">
        <v>6</v>
      </c>
      <c r="Q5">
        <v>4</v>
      </c>
      <c r="R5">
        <v>3</v>
      </c>
      <c r="S5">
        <v>3</v>
      </c>
      <c r="T5">
        <v>2</v>
      </c>
      <c r="U5">
        <v>1</v>
      </c>
      <c r="V5">
        <v>19</v>
      </c>
      <c r="W5">
        <v>9</v>
      </c>
      <c r="X5">
        <v>3</v>
      </c>
      <c r="Y5">
        <v>1</v>
      </c>
      <c r="Z5">
        <v>7</v>
      </c>
      <c r="AA5">
        <v>22</v>
      </c>
      <c r="AB5">
        <v>2</v>
      </c>
      <c r="AC5">
        <v>10</v>
      </c>
      <c r="AD5">
        <v>4</v>
      </c>
      <c r="AE5">
        <v>0</v>
      </c>
      <c r="AF5">
        <v>0</v>
      </c>
      <c r="AG5">
        <v>6</v>
      </c>
      <c r="AH5">
        <v>5</v>
      </c>
      <c r="AI5">
        <v>3</v>
      </c>
      <c r="AJ5">
        <v>1</v>
      </c>
      <c r="AK5">
        <v>4</v>
      </c>
      <c r="AL5">
        <v>1</v>
      </c>
      <c r="AM5">
        <v>0</v>
      </c>
      <c r="AN5">
        <v>0</v>
      </c>
      <c r="AO5">
        <v>7</v>
      </c>
      <c r="AP5">
        <v>22</v>
      </c>
      <c r="AQ5">
        <v>2</v>
      </c>
      <c r="AR5">
        <v>10</v>
      </c>
      <c r="AS5">
        <v>4</v>
      </c>
      <c r="AT5">
        <v>3</v>
      </c>
      <c r="AU5">
        <v>0</v>
      </c>
      <c r="AV5">
        <v>0</v>
      </c>
      <c r="AW5">
        <v>0</v>
      </c>
      <c r="AX5">
        <v>0</v>
      </c>
      <c r="AY5">
        <v>0</v>
      </c>
      <c r="AZ5">
        <v>1</v>
      </c>
      <c r="BA5">
        <v>1</v>
      </c>
      <c r="BB5">
        <v>0.08</v>
      </c>
      <c r="BC5">
        <v>1</v>
      </c>
      <c r="BD5">
        <v>3</v>
      </c>
      <c r="BE5">
        <v>3</v>
      </c>
      <c r="BF5">
        <v>2</v>
      </c>
      <c r="BG5">
        <v>1</v>
      </c>
      <c r="BH5">
        <v>6</v>
      </c>
      <c r="BI5">
        <v>2</v>
      </c>
      <c r="BJ5">
        <v>2</v>
      </c>
      <c r="BK5">
        <v>0</v>
      </c>
      <c r="BL5">
        <v>5</v>
      </c>
      <c r="BM5">
        <v>2</v>
      </c>
      <c r="BN5">
        <v>56</v>
      </c>
      <c r="BO5">
        <v>42</v>
      </c>
      <c r="BP5">
        <v>6</v>
      </c>
      <c r="BQ5">
        <v>4</v>
      </c>
      <c r="BR5">
        <v>0</v>
      </c>
      <c r="BS5">
        <v>0</v>
      </c>
      <c r="BT5">
        <v>3</v>
      </c>
      <c r="BU5">
        <v>3</v>
      </c>
      <c r="BV5">
        <v>0</v>
      </c>
      <c r="BW5">
        <v>0.23</v>
      </c>
      <c r="BX5">
        <v>0</v>
      </c>
      <c r="BY5">
        <v>8</v>
      </c>
      <c r="BZ5">
        <v>4</v>
      </c>
      <c r="CA5">
        <v>6</v>
      </c>
      <c r="CB5">
        <v>4</v>
      </c>
      <c r="CC5">
        <v>47</v>
      </c>
      <c r="CD5">
        <v>15</v>
      </c>
      <c r="CE5">
        <v>10</v>
      </c>
      <c r="CF5">
        <v>8</v>
      </c>
      <c r="CG5">
        <v>7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225</v>
      </c>
      <c r="F6">
        <v>96</v>
      </c>
      <c r="G6">
        <v>30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9</v>
      </c>
      <c r="P6">
        <v>3</v>
      </c>
      <c r="Q6">
        <v>1</v>
      </c>
      <c r="R6">
        <v>1</v>
      </c>
      <c r="S6">
        <v>0</v>
      </c>
      <c r="T6">
        <v>2</v>
      </c>
      <c r="U6">
        <v>1</v>
      </c>
      <c r="V6">
        <v>10</v>
      </c>
      <c r="W6">
        <v>6</v>
      </c>
      <c r="X6">
        <v>0</v>
      </c>
      <c r="Y6">
        <v>0</v>
      </c>
      <c r="Z6">
        <v>4</v>
      </c>
      <c r="AA6">
        <v>6</v>
      </c>
      <c r="AB6">
        <v>2</v>
      </c>
      <c r="AC6">
        <v>4</v>
      </c>
      <c r="AD6">
        <v>1</v>
      </c>
      <c r="AE6">
        <v>0</v>
      </c>
      <c r="AF6">
        <v>0</v>
      </c>
      <c r="AG6">
        <v>7</v>
      </c>
      <c r="AH6">
        <v>4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4</v>
      </c>
      <c r="AP6">
        <v>6</v>
      </c>
      <c r="AQ6">
        <v>2</v>
      </c>
      <c r="AR6">
        <v>4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2</v>
      </c>
      <c r="BG6">
        <v>1</v>
      </c>
      <c r="BH6">
        <v>3</v>
      </c>
      <c r="BI6">
        <v>2</v>
      </c>
      <c r="BJ6">
        <v>0</v>
      </c>
      <c r="BK6">
        <v>0</v>
      </c>
      <c r="BL6">
        <v>2</v>
      </c>
      <c r="BM6">
        <v>2</v>
      </c>
      <c r="BN6">
        <v>15</v>
      </c>
      <c r="BO6">
        <v>9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0</v>
      </c>
      <c r="CB6">
        <v>0</v>
      </c>
      <c r="CC6">
        <v>8</v>
      </c>
      <c r="CD6">
        <v>6</v>
      </c>
      <c r="CE6">
        <v>3</v>
      </c>
      <c r="CF6">
        <v>2</v>
      </c>
      <c r="CG6">
        <v>2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225</v>
      </c>
      <c r="F7">
        <v>101</v>
      </c>
      <c r="G7">
        <v>68</v>
      </c>
      <c r="H7">
        <v>45</v>
      </c>
      <c r="I7">
        <v>0</v>
      </c>
      <c r="J7">
        <v>0</v>
      </c>
      <c r="K7">
        <v>1</v>
      </c>
      <c r="L7">
        <v>0</v>
      </c>
      <c r="M7">
        <v>0.15</v>
      </c>
      <c r="N7">
        <v>43</v>
      </c>
      <c r="O7">
        <v>36</v>
      </c>
      <c r="P7">
        <v>6</v>
      </c>
      <c r="Q7">
        <v>4</v>
      </c>
      <c r="R7">
        <v>2</v>
      </c>
      <c r="S7">
        <v>0</v>
      </c>
      <c r="T7">
        <v>1</v>
      </c>
      <c r="U7">
        <v>0</v>
      </c>
      <c r="V7">
        <v>21</v>
      </c>
      <c r="W7">
        <v>8</v>
      </c>
      <c r="X7">
        <v>7</v>
      </c>
      <c r="Y7">
        <v>1</v>
      </c>
      <c r="Z7">
        <v>0</v>
      </c>
      <c r="AA7">
        <v>9</v>
      </c>
      <c r="AB7">
        <v>2</v>
      </c>
      <c r="AC7">
        <v>5</v>
      </c>
      <c r="AD7">
        <v>1</v>
      </c>
      <c r="AE7">
        <v>0</v>
      </c>
      <c r="AF7">
        <v>0</v>
      </c>
      <c r="AG7">
        <v>8</v>
      </c>
      <c r="AH7">
        <v>6</v>
      </c>
      <c r="AI7">
        <v>7</v>
      </c>
      <c r="AJ7">
        <v>1</v>
      </c>
      <c r="AK7">
        <v>2</v>
      </c>
      <c r="AL7">
        <v>1</v>
      </c>
      <c r="AM7">
        <v>0</v>
      </c>
      <c r="AN7">
        <v>0</v>
      </c>
      <c r="AO7">
        <v>0</v>
      </c>
      <c r="AP7">
        <v>9</v>
      </c>
      <c r="AQ7">
        <v>2</v>
      </c>
      <c r="AR7">
        <v>5</v>
      </c>
      <c r="AS7">
        <v>1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0.15</v>
      </c>
      <c r="BC7">
        <v>1</v>
      </c>
      <c r="BD7">
        <v>2</v>
      </c>
      <c r="BE7">
        <v>0</v>
      </c>
      <c r="BF7">
        <v>1</v>
      </c>
      <c r="BG7">
        <v>0</v>
      </c>
      <c r="BH7">
        <v>4</v>
      </c>
      <c r="BI7">
        <v>0</v>
      </c>
      <c r="BJ7">
        <v>3</v>
      </c>
      <c r="BK7">
        <v>0</v>
      </c>
      <c r="BL7">
        <v>1</v>
      </c>
      <c r="BM7">
        <v>1</v>
      </c>
      <c r="BN7">
        <v>43</v>
      </c>
      <c r="BO7">
        <v>36</v>
      </c>
      <c r="BP7">
        <v>6</v>
      </c>
      <c r="BQ7">
        <v>4</v>
      </c>
      <c r="BR7">
        <v>0</v>
      </c>
      <c r="BS7">
        <v>0</v>
      </c>
      <c r="BT7">
        <v>2</v>
      </c>
      <c r="BU7">
        <v>0</v>
      </c>
      <c r="BV7">
        <v>0</v>
      </c>
      <c r="BW7">
        <v>0.06</v>
      </c>
      <c r="BX7">
        <v>0</v>
      </c>
      <c r="BY7">
        <v>5</v>
      </c>
      <c r="BZ7">
        <v>4</v>
      </c>
      <c r="CA7">
        <v>1</v>
      </c>
      <c r="CB7">
        <v>0</v>
      </c>
      <c r="CC7">
        <v>33</v>
      </c>
      <c r="CD7">
        <v>16</v>
      </c>
      <c r="CE7">
        <v>13</v>
      </c>
      <c r="CF7">
        <v>10</v>
      </c>
      <c r="CG7">
        <v>10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226</v>
      </c>
      <c r="F8">
        <v>97</v>
      </c>
      <c r="G8">
        <v>45</v>
      </c>
      <c r="H8">
        <v>24</v>
      </c>
      <c r="I8">
        <v>0</v>
      </c>
      <c r="J8">
        <v>0</v>
      </c>
      <c r="K8">
        <v>0</v>
      </c>
      <c r="L8">
        <v>0</v>
      </c>
      <c r="M8">
        <v>0</v>
      </c>
      <c r="N8">
        <v>22</v>
      </c>
      <c r="O8">
        <v>12</v>
      </c>
      <c r="P8">
        <v>4</v>
      </c>
      <c r="Q8">
        <v>1</v>
      </c>
      <c r="R8">
        <v>3</v>
      </c>
      <c r="S8">
        <v>0</v>
      </c>
      <c r="T8">
        <v>2</v>
      </c>
      <c r="U8">
        <v>2</v>
      </c>
      <c r="V8">
        <v>19</v>
      </c>
      <c r="W8">
        <v>11</v>
      </c>
      <c r="X8">
        <v>7</v>
      </c>
      <c r="Y8">
        <v>3</v>
      </c>
      <c r="Z8">
        <v>6</v>
      </c>
      <c r="AA8">
        <v>17</v>
      </c>
      <c r="AB8">
        <v>5</v>
      </c>
      <c r="AC8">
        <v>6</v>
      </c>
      <c r="AD8">
        <v>1</v>
      </c>
      <c r="AE8">
        <v>0</v>
      </c>
      <c r="AF8">
        <v>0</v>
      </c>
      <c r="AG8">
        <v>6</v>
      </c>
      <c r="AH8">
        <v>5</v>
      </c>
      <c r="AI8">
        <v>7</v>
      </c>
      <c r="AJ8">
        <v>3</v>
      </c>
      <c r="AK8">
        <v>3</v>
      </c>
      <c r="AL8">
        <v>1</v>
      </c>
      <c r="AM8">
        <v>0</v>
      </c>
      <c r="AN8">
        <v>0</v>
      </c>
      <c r="AO8">
        <v>6</v>
      </c>
      <c r="AP8">
        <v>17</v>
      </c>
      <c r="AQ8">
        <v>5</v>
      </c>
      <c r="AR8">
        <v>6</v>
      </c>
      <c r="AS8">
        <v>1</v>
      </c>
      <c r="AT8">
        <v>3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3</v>
      </c>
      <c r="BE8">
        <v>0</v>
      </c>
      <c r="BF8">
        <v>2</v>
      </c>
      <c r="BG8">
        <v>2</v>
      </c>
      <c r="BH8">
        <v>3</v>
      </c>
      <c r="BI8">
        <v>2</v>
      </c>
      <c r="BJ8">
        <v>2</v>
      </c>
      <c r="BK8">
        <v>0</v>
      </c>
      <c r="BL8">
        <v>2</v>
      </c>
      <c r="BM8">
        <v>2</v>
      </c>
      <c r="BN8">
        <v>22</v>
      </c>
      <c r="BO8">
        <v>12</v>
      </c>
      <c r="BP8">
        <v>4</v>
      </c>
      <c r="BQ8">
        <v>1</v>
      </c>
      <c r="BR8">
        <v>0</v>
      </c>
      <c r="BS8">
        <v>0</v>
      </c>
      <c r="BT8">
        <v>3</v>
      </c>
      <c r="BU8">
        <v>0</v>
      </c>
      <c r="BV8">
        <v>0</v>
      </c>
      <c r="BW8">
        <v>0</v>
      </c>
      <c r="BX8">
        <v>0</v>
      </c>
      <c r="BY8">
        <v>2</v>
      </c>
      <c r="BZ8">
        <v>0</v>
      </c>
      <c r="CA8">
        <v>2</v>
      </c>
      <c r="CB8">
        <v>0</v>
      </c>
      <c r="CC8">
        <v>20</v>
      </c>
      <c r="CD8">
        <v>13</v>
      </c>
      <c r="CE8">
        <v>7</v>
      </c>
      <c r="CF8">
        <v>4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227</v>
      </c>
      <c r="F9">
        <v>100</v>
      </c>
      <c r="G9">
        <v>55</v>
      </c>
      <c r="H9">
        <v>30</v>
      </c>
      <c r="I9">
        <v>0</v>
      </c>
      <c r="J9">
        <v>0</v>
      </c>
      <c r="K9">
        <v>1</v>
      </c>
      <c r="L9">
        <v>0</v>
      </c>
      <c r="M9">
        <v>0.04</v>
      </c>
      <c r="N9">
        <v>27</v>
      </c>
      <c r="O9">
        <v>18</v>
      </c>
      <c r="P9">
        <v>3</v>
      </c>
      <c r="Q9">
        <v>2</v>
      </c>
      <c r="R9">
        <v>1</v>
      </c>
      <c r="S9">
        <v>0</v>
      </c>
      <c r="T9">
        <v>2</v>
      </c>
      <c r="U9">
        <v>0</v>
      </c>
      <c r="V9">
        <v>20</v>
      </c>
      <c r="W9">
        <v>12</v>
      </c>
      <c r="X9">
        <v>6</v>
      </c>
      <c r="Y9">
        <v>2</v>
      </c>
      <c r="Z9">
        <v>7</v>
      </c>
      <c r="AA9">
        <v>16</v>
      </c>
      <c r="AB9">
        <v>9</v>
      </c>
      <c r="AC9">
        <v>7</v>
      </c>
      <c r="AD9">
        <v>4</v>
      </c>
      <c r="AE9">
        <v>0</v>
      </c>
      <c r="AF9">
        <v>0</v>
      </c>
      <c r="AG9">
        <v>8</v>
      </c>
      <c r="AH9">
        <v>8</v>
      </c>
      <c r="AI9">
        <v>6</v>
      </c>
      <c r="AJ9">
        <v>2</v>
      </c>
      <c r="AK9">
        <v>2</v>
      </c>
      <c r="AL9">
        <v>2</v>
      </c>
      <c r="AM9">
        <v>0</v>
      </c>
      <c r="AN9">
        <v>0</v>
      </c>
      <c r="AO9">
        <v>7</v>
      </c>
      <c r="AP9">
        <v>16</v>
      </c>
      <c r="AQ9">
        <v>9</v>
      </c>
      <c r="AR9">
        <v>7</v>
      </c>
      <c r="AS9">
        <v>4</v>
      </c>
      <c r="AT9">
        <v>3</v>
      </c>
      <c r="AU9">
        <v>0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0.04</v>
      </c>
      <c r="BC9">
        <v>0</v>
      </c>
      <c r="BD9">
        <v>1</v>
      </c>
      <c r="BE9">
        <v>0</v>
      </c>
      <c r="BF9">
        <v>2</v>
      </c>
      <c r="BG9">
        <v>0</v>
      </c>
      <c r="BH9">
        <v>4</v>
      </c>
      <c r="BI9">
        <v>0</v>
      </c>
      <c r="BJ9">
        <v>0</v>
      </c>
      <c r="BK9">
        <v>0</v>
      </c>
      <c r="BL9">
        <v>0</v>
      </c>
      <c r="BM9">
        <v>0</v>
      </c>
      <c r="BN9">
        <v>27</v>
      </c>
      <c r="BO9">
        <v>18</v>
      </c>
      <c r="BP9">
        <v>3</v>
      </c>
      <c r="BQ9">
        <v>2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4</v>
      </c>
      <c r="BZ9">
        <v>2</v>
      </c>
      <c r="CA9">
        <v>2</v>
      </c>
      <c r="CB9">
        <v>1</v>
      </c>
      <c r="CC9">
        <v>17</v>
      </c>
      <c r="CD9">
        <v>8</v>
      </c>
      <c r="CE9">
        <v>6</v>
      </c>
      <c r="CF9">
        <v>11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227</v>
      </c>
      <c r="F10">
        <v>101</v>
      </c>
      <c r="G10">
        <v>42</v>
      </c>
      <c r="H10">
        <v>28</v>
      </c>
      <c r="I10">
        <v>0</v>
      </c>
      <c r="J10">
        <v>0</v>
      </c>
      <c r="K10">
        <v>1</v>
      </c>
      <c r="L10">
        <v>0</v>
      </c>
      <c r="M10">
        <v>0.04</v>
      </c>
      <c r="N10">
        <v>27</v>
      </c>
      <c r="O10">
        <v>22</v>
      </c>
      <c r="P10">
        <v>4</v>
      </c>
      <c r="Q10">
        <v>4</v>
      </c>
      <c r="R10">
        <v>3</v>
      </c>
      <c r="S10">
        <v>2</v>
      </c>
      <c r="T10">
        <v>2</v>
      </c>
      <c r="U10">
        <v>1</v>
      </c>
      <c r="V10">
        <v>7</v>
      </c>
      <c r="W10">
        <v>5</v>
      </c>
      <c r="X10">
        <v>0</v>
      </c>
      <c r="Y10">
        <v>0</v>
      </c>
      <c r="Z10">
        <v>4</v>
      </c>
      <c r="AA10">
        <v>6</v>
      </c>
      <c r="AB10">
        <v>4</v>
      </c>
      <c r="AC10">
        <v>5</v>
      </c>
      <c r="AD10">
        <v>3</v>
      </c>
      <c r="AE10">
        <v>32</v>
      </c>
      <c r="AF10">
        <v>0</v>
      </c>
      <c r="AG10">
        <v>2</v>
      </c>
      <c r="AH10">
        <v>1</v>
      </c>
      <c r="AI10">
        <v>0</v>
      </c>
      <c r="AJ10">
        <v>0</v>
      </c>
      <c r="AK10">
        <v>2</v>
      </c>
      <c r="AL10">
        <v>2</v>
      </c>
      <c r="AM10">
        <v>1</v>
      </c>
      <c r="AN10">
        <v>0</v>
      </c>
      <c r="AO10">
        <v>4</v>
      </c>
      <c r="AP10">
        <v>6</v>
      </c>
      <c r="AQ10">
        <v>4</v>
      </c>
      <c r="AR10">
        <v>5</v>
      </c>
      <c r="AS10">
        <v>3</v>
      </c>
      <c r="AT10">
        <v>3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0.04</v>
      </c>
      <c r="BC10">
        <v>2</v>
      </c>
      <c r="BD10">
        <v>3</v>
      </c>
      <c r="BE10">
        <v>2</v>
      </c>
      <c r="BF10">
        <v>2</v>
      </c>
      <c r="BG10">
        <v>1</v>
      </c>
      <c r="BH10">
        <v>3</v>
      </c>
      <c r="BI10">
        <v>2</v>
      </c>
      <c r="BJ10">
        <v>1</v>
      </c>
      <c r="BK10">
        <v>0</v>
      </c>
      <c r="BL10">
        <v>0</v>
      </c>
      <c r="BM10">
        <v>1</v>
      </c>
      <c r="BN10">
        <v>27</v>
      </c>
      <c r="BO10">
        <v>22</v>
      </c>
      <c r="BP10">
        <v>4</v>
      </c>
      <c r="BQ10">
        <v>4</v>
      </c>
      <c r="BR10">
        <v>0</v>
      </c>
      <c r="BS10">
        <v>0</v>
      </c>
      <c r="BT10">
        <v>3</v>
      </c>
      <c r="BU10">
        <v>2</v>
      </c>
      <c r="BV10">
        <v>0</v>
      </c>
      <c r="BW10">
        <v>0.28000000000000003</v>
      </c>
      <c r="BX10">
        <v>0</v>
      </c>
      <c r="BY10">
        <v>0</v>
      </c>
      <c r="BZ10">
        <v>0</v>
      </c>
      <c r="CA10">
        <v>2</v>
      </c>
      <c r="CB10">
        <v>1</v>
      </c>
      <c r="CC10">
        <v>20</v>
      </c>
      <c r="CD10">
        <v>10</v>
      </c>
      <c r="CE10">
        <v>7</v>
      </c>
      <c r="CF10">
        <v>3</v>
      </c>
      <c r="CG10">
        <v>2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227</v>
      </c>
      <c r="F11">
        <v>98</v>
      </c>
      <c r="G11">
        <v>58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36</v>
      </c>
      <c r="O11">
        <v>29</v>
      </c>
      <c r="P11">
        <v>4</v>
      </c>
      <c r="Q11">
        <v>1</v>
      </c>
      <c r="R11">
        <v>1</v>
      </c>
      <c r="S11">
        <v>0</v>
      </c>
      <c r="T11">
        <v>1</v>
      </c>
      <c r="U11">
        <v>0</v>
      </c>
      <c r="V11">
        <v>16</v>
      </c>
      <c r="W11">
        <v>8</v>
      </c>
      <c r="X11">
        <v>4</v>
      </c>
      <c r="Y11">
        <v>2</v>
      </c>
      <c r="Z11">
        <v>4</v>
      </c>
      <c r="AA11">
        <v>11</v>
      </c>
      <c r="AB11">
        <v>4</v>
      </c>
      <c r="AC11">
        <v>10</v>
      </c>
      <c r="AD11">
        <v>3</v>
      </c>
      <c r="AE11">
        <v>0</v>
      </c>
      <c r="AF11">
        <v>0</v>
      </c>
      <c r="AG11">
        <v>6</v>
      </c>
      <c r="AH11">
        <v>3</v>
      </c>
      <c r="AI11">
        <v>4</v>
      </c>
      <c r="AJ11">
        <v>2</v>
      </c>
      <c r="AK11">
        <v>4</v>
      </c>
      <c r="AL11">
        <v>3</v>
      </c>
      <c r="AM11">
        <v>0</v>
      </c>
      <c r="AN11">
        <v>0</v>
      </c>
      <c r="AO11">
        <v>4</v>
      </c>
      <c r="AP11">
        <v>11</v>
      </c>
      <c r="AQ11">
        <v>4</v>
      </c>
      <c r="AR11">
        <v>10</v>
      </c>
      <c r="AS11">
        <v>3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1</v>
      </c>
      <c r="BE11">
        <v>0</v>
      </c>
      <c r="BF11">
        <v>1</v>
      </c>
      <c r="BG11">
        <v>0</v>
      </c>
      <c r="BH11">
        <v>2</v>
      </c>
      <c r="BI11">
        <v>0</v>
      </c>
      <c r="BJ11">
        <v>1</v>
      </c>
      <c r="BK11">
        <v>0</v>
      </c>
      <c r="BL11">
        <v>1</v>
      </c>
      <c r="BM11">
        <v>0</v>
      </c>
      <c r="BN11">
        <v>36</v>
      </c>
      <c r="BO11">
        <v>29</v>
      </c>
      <c r="BP11">
        <v>4</v>
      </c>
      <c r="BQ11">
        <v>1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0.05</v>
      </c>
      <c r="BX11">
        <v>0</v>
      </c>
      <c r="BY11">
        <v>3</v>
      </c>
      <c r="BZ11">
        <v>1</v>
      </c>
      <c r="CA11">
        <v>1</v>
      </c>
      <c r="CB11">
        <v>0</v>
      </c>
      <c r="CC11">
        <v>26</v>
      </c>
      <c r="CD11">
        <v>13</v>
      </c>
      <c r="CE11">
        <v>9</v>
      </c>
      <c r="CF11">
        <v>5</v>
      </c>
      <c r="CG11">
        <v>5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228</v>
      </c>
      <c r="F12">
        <v>99</v>
      </c>
      <c r="G12">
        <v>81</v>
      </c>
      <c r="H12">
        <v>56</v>
      </c>
      <c r="I12">
        <v>0</v>
      </c>
      <c r="J12">
        <v>0</v>
      </c>
      <c r="K12">
        <v>2</v>
      </c>
      <c r="L12">
        <v>1</v>
      </c>
      <c r="M12">
        <v>0.15</v>
      </c>
      <c r="N12">
        <v>54</v>
      </c>
      <c r="O12">
        <v>41</v>
      </c>
      <c r="P12">
        <v>7</v>
      </c>
      <c r="Q12">
        <v>3</v>
      </c>
      <c r="R12">
        <v>9</v>
      </c>
      <c r="S12">
        <v>4</v>
      </c>
      <c r="T12">
        <v>2</v>
      </c>
      <c r="U12">
        <v>0</v>
      </c>
      <c r="V12">
        <v>18</v>
      </c>
      <c r="W12">
        <v>12</v>
      </c>
      <c r="X12">
        <v>2</v>
      </c>
      <c r="Y12">
        <v>2</v>
      </c>
      <c r="Z12">
        <v>5</v>
      </c>
      <c r="AA12">
        <v>16</v>
      </c>
      <c r="AB12">
        <v>6</v>
      </c>
      <c r="AC12">
        <v>12</v>
      </c>
      <c r="AD12">
        <v>4</v>
      </c>
      <c r="AE12">
        <v>0</v>
      </c>
      <c r="AF12">
        <v>0</v>
      </c>
      <c r="AG12">
        <v>8</v>
      </c>
      <c r="AH12">
        <v>6</v>
      </c>
      <c r="AI12">
        <v>2</v>
      </c>
      <c r="AJ12">
        <v>2</v>
      </c>
      <c r="AK12">
        <v>2</v>
      </c>
      <c r="AL12">
        <v>2</v>
      </c>
      <c r="AM12">
        <v>0</v>
      </c>
      <c r="AN12">
        <v>0</v>
      </c>
      <c r="AO12">
        <v>5</v>
      </c>
      <c r="AP12">
        <v>16</v>
      </c>
      <c r="AQ12">
        <v>6</v>
      </c>
      <c r="AR12">
        <v>12</v>
      </c>
      <c r="AS12">
        <v>4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0.15</v>
      </c>
      <c r="BC12">
        <v>0</v>
      </c>
      <c r="BD12">
        <v>9</v>
      </c>
      <c r="BE12">
        <v>4</v>
      </c>
      <c r="BF12">
        <v>2</v>
      </c>
      <c r="BG12">
        <v>0</v>
      </c>
      <c r="BH12">
        <v>6</v>
      </c>
      <c r="BI12">
        <v>2</v>
      </c>
      <c r="BJ12">
        <v>4</v>
      </c>
      <c r="BK12">
        <v>0</v>
      </c>
      <c r="BL12">
        <v>2</v>
      </c>
      <c r="BM12">
        <v>3</v>
      </c>
      <c r="BN12">
        <v>54</v>
      </c>
      <c r="BO12">
        <v>41</v>
      </c>
      <c r="BP12">
        <v>7</v>
      </c>
      <c r="BQ12">
        <v>3</v>
      </c>
      <c r="BR12">
        <v>0</v>
      </c>
      <c r="BS12">
        <v>0</v>
      </c>
      <c r="BT12">
        <v>9</v>
      </c>
      <c r="BU12">
        <v>4</v>
      </c>
      <c r="BV12">
        <v>0</v>
      </c>
      <c r="BW12">
        <v>0</v>
      </c>
      <c r="BX12">
        <v>0</v>
      </c>
      <c r="BY12">
        <v>6</v>
      </c>
      <c r="BZ12">
        <v>5</v>
      </c>
      <c r="CA12">
        <v>8</v>
      </c>
      <c r="CB12">
        <v>5</v>
      </c>
      <c r="CC12">
        <v>36</v>
      </c>
      <c r="CD12">
        <v>19</v>
      </c>
      <c r="CE12">
        <v>13</v>
      </c>
      <c r="CF12">
        <v>4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225</v>
      </c>
      <c r="F13">
        <v>94</v>
      </c>
      <c r="G13">
        <v>63</v>
      </c>
      <c r="H13">
        <v>38</v>
      </c>
      <c r="I13">
        <v>0</v>
      </c>
      <c r="J13">
        <v>0</v>
      </c>
      <c r="K13">
        <v>0</v>
      </c>
      <c r="L13">
        <v>0</v>
      </c>
      <c r="M13">
        <v>0</v>
      </c>
      <c r="N13">
        <v>40</v>
      </c>
      <c r="O13">
        <v>29</v>
      </c>
      <c r="P13">
        <v>4</v>
      </c>
      <c r="Q13">
        <v>1</v>
      </c>
      <c r="R13">
        <v>2</v>
      </c>
      <c r="S13">
        <v>0</v>
      </c>
      <c r="T13">
        <v>1</v>
      </c>
      <c r="U13">
        <v>1</v>
      </c>
      <c r="V13">
        <v>16</v>
      </c>
      <c r="W13">
        <v>9</v>
      </c>
      <c r="X13">
        <v>1</v>
      </c>
      <c r="Y13">
        <v>0</v>
      </c>
      <c r="Z13">
        <v>5</v>
      </c>
      <c r="AA13">
        <v>14</v>
      </c>
      <c r="AB13">
        <v>5</v>
      </c>
      <c r="AC13">
        <v>6</v>
      </c>
      <c r="AD13">
        <v>1</v>
      </c>
      <c r="AE13">
        <v>0</v>
      </c>
      <c r="AF13">
        <v>0</v>
      </c>
      <c r="AG13">
        <v>9</v>
      </c>
      <c r="AH13">
        <v>5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5</v>
      </c>
      <c r="AP13">
        <v>14</v>
      </c>
      <c r="AQ13">
        <v>5</v>
      </c>
      <c r="AR13">
        <v>6</v>
      </c>
      <c r="AS13">
        <v>1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1</v>
      </c>
      <c r="BG13">
        <v>1</v>
      </c>
      <c r="BH13">
        <v>6</v>
      </c>
      <c r="BI13">
        <v>4</v>
      </c>
      <c r="BJ13">
        <v>1</v>
      </c>
      <c r="BK13">
        <v>0</v>
      </c>
      <c r="BL13">
        <v>1</v>
      </c>
      <c r="BM13">
        <v>3</v>
      </c>
      <c r="BN13">
        <v>40</v>
      </c>
      <c r="BO13">
        <v>29</v>
      </c>
      <c r="BP13">
        <v>4</v>
      </c>
      <c r="BQ13">
        <v>1</v>
      </c>
      <c r="BR13">
        <v>0</v>
      </c>
      <c r="BS13">
        <v>0</v>
      </c>
      <c r="BT13">
        <v>2</v>
      </c>
      <c r="BU13">
        <v>0</v>
      </c>
      <c r="BV13">
        <v>0</v>
      </c>
      <c r="BW13">
        <v>0</v>
      </c>
      <c r="BX13">
        <v>0</v>
      </c>
      <c r="BY13">
        <v>5</v>
      </c>
      <c r="BZ13">
        <v>3</v>
      </c>
      <c r="CA13">
        <v>1</v>
      </c>
      <c r="CB13">
        <v>0</v>
      </c>
      <c r="CC13">
        <v>30</v>
      </c>
      <c r="CD13">
        <v>14</v>
      </c>
      <c r="CE13">
        <v>9</v>
      </c>
      <c r="CF13">
        <v>10</v>
      </c>
      <c r="CG13">
        <v>9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225</v>
      </c>
      <c r="F14">
        <v>102</v>
      </c>
      <c r="G14">
        <v>50</v>
      </c>
      <c r="H14">
        <v>34</v>
      </c>
      <c r="I14">
        <v>0</v>
      </c>
      <c r="J14">
        <v>0</v>
      </c>
      <c r="K14">
        <v>0</v>
      </c>
      <c r="L14">
        <v>0</v>
      </c>
      <c r="M14">
        <v>0.03</v>
      </c>
      <c r="N14">
        <v>33</v>
      </c>
      <c r="O14">
        <v>29</v>
      </c>
      <c r="P14">
        <v>2</v>
      </c>
      <c r="Q14">
        <v>2</v>
      </c>
      <c r="R14">
        <v>3</v>
      </c>
      <c r="S14">
        <v>3</v>
      </c>
      <c r="T14">
        <v>0</v>
      </c>
      <c r="U14">
        <v>0</v>
      </c>
      <c r="V14">
        <v>11</v>
      </c>
      <c r="W14">
        <v>5</v>
      </c>
      <c r="X14">
        <v>1</v>
      </c>
      <c r="Y14">
        <v>1</v>
      </c>
      <c r="Z14">
        <v>3</v>
      </c>
      <c r="AA14">
        <v>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6</v>
      </c>
      <c r="AH14">
        <v>2</v>
      </c>
      <c r="AI14">
        <v>1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3</v>
      </c>
      <c r="AP14">
        <v>7</v>
      </c>
      <c r="AQ14">
        <v>1</v>
      </c>
      <c r="AR14">
        <v>1</v>
      </c>
      <c r="AS14">
        <v>1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0.03</v>
      </c>
      <c r="BC14">
        <v>0</v>
      </c>
      <c r="BD14">
        <v>3</v>
      </c>
      <c r="BE14">
        <v>3</v>
      </c>
      <c r="BF14">
        <v>0</v>
      </c>
      <c r="BG14">
        <v>0</v>
      </c>
      <c r="BH14">
        <v>4</v>
      </c>
      <c r="BI14">
        <v>2</v>
      </c>
      <c r="BJ14">
        <v>0</v>
      </c>
      <c r="BK14">
        <v>1</v>
      </c>
      <c r="BL14">
        <v>0</v>
      </c>
      <c r="BM14">
        <v>2</v>
      </c>
      <c r="BN14">
        <v>33</v>
      </c>
      <c r="BO14">
        <v>29</v>
      </c>
      <c r="BP14">
        <v>2</v>
      </c>
      <c r="BQ14">
        <v>2</v>
      </c>
      <c r="BR14">
        <v>0</v>
      </c>
      <c r="BS14">
        <v>0</v>
      </c>
      <c r="BT14">
        <v>3</v>
      </c>
      <c r="BU14">
        <v>3</v>
      </c>
      <c r="BV14">
        <v>0</v>
      </c>
      <c r="BW14">
        <v>0.03</v>
      </c>
      <c r="BX14">
        <v>0</v>
      </c>
      <c r="BY14">
        <v>2</v>
      </c>
      <c r="BZ14">
        <v>1</v>
      </c>
      <c r="CA14">
        <v>0</v>
      </c>
      <c r="CB14">
        <v>0</v>
      </c>
      <c r="CC14">
        <v>29</v>
      </c>
      <c r="CD14">
        <v>7</v>
      </c>
      <c r="CE14">
        <v>4</v>
      </c>
      <c r="CF14">
        <v>7</v>
      </c>
      <c r="CG14">
        <v>6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225</v>
      </c>
      <c r="F15">
        <v>106</v>
      </c>
      <c r="G15">
        <v>28</v>
      </c>
      <c r="H15">
        <v>10</v>
      </c>
      <c r="I15">
        <v>0</v>
      </c>
      <c r="J15">
        <v>0</v>
      </c>
      <c r="K15">
        <v>0</v>
      </c>
      <c r="L15">
        <v>0</v>
      </c>
      <c r="M15">
        <v>0</v>
      </c>
      <c r="N15">
        <v>15</v>
      </c>
      <c r="O15">
        <v>7</v>
      </c>
      <c r="P15">
        <v>3</v>
      </c>
      <c r="Q15">
        <v>1</v>
      </c>
      <c r="R15">
        <v>2</v>
      </c>
      <c r="S15">
        <v>2</v>
      </c>
      <c r="T15">
        <v>0</v>
      </c>
      <c r="U15">
        <v>0</v>
      </c>
      <c r="V15">
        <v>7</v>
      </c>
      <c r="W15">
        <v>2</v>
      </c>
      <c r="X15">
        <v>0</v>
      </c>
      <c r="Y15">
        <v>0</v>
      </c>
      <c r="Z15">
        <v>5</v>
      </c>
      <c r="AA15">
        <v>2</v>
      </c>
      <c r="AB15">
        <v>0</v>
      </c>
      <c r="AC15">
        <v>2</v>
      </c>
      <c r="AD15">
        <v>1</v>
      </c>
      <c r="AE15">
        <v>1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5</v>
      </c>
      <c r="AP15">
        <v>2</v>
      </c>
      <c r="AQ15">
        <v>0</v>
      </c>
      <c r="AR15">
        <v>2</v>
      </c>
      <c r="AS15">
        <v>1</v>
      </c>
      <c r="AT15">
        <v>0</v>
      </c>
      <c r="AU15">
        <v>3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2</v>
      </c>
      <c r="BE15">
        <v>2</v>
      </c>
      <c r="BF15">
        <v>0</v>
      </c>
      <c r="BG15">
        <v>0</v>
      </c>
      <c r="BH15">
        <v>3</v>
      </c>
      <c r="BI15">
        <v>2</v>
      </c>
      <c r="BJ15">
        <v>0</v>
      </c>
      <c r="BK15">
        <v>0</v>
      </c>
      <c r="BL15">
        <v>0</v>
      </c>
      <c r="BM15">
        <v>1</v>
      </c>
      <c r="BN15">
        <v>15</v>
      </c>
      <c r="BO15">
        <v>7</v>
      </c>
      <c r="BP15">
        <v>3</v>
      </c>
      <c r="BQ15">
        <v>1</v>
      </c>
      <c r="BR15">
        <v>0</v>
      </c>
      <c r="BS15">
        <v>0</v>
      </c>
      <c r="BT15">
        <v>2</v>
      </c>
      <c r="BU15">
        <v>2</v>
      </c>
      <c r="BV15">
        <v>0</v>
      </c>
      <c r="BW15">
        <v>0</v>
      </c>
      <c r="BX15">
        <v>0</v>
      </c>
      <c r="BY15">
        <v>3</v>
      </c>
      <c r="BZ15">
        <v>1</v>
      </c>
      <c r="CA15">
        <v>0</v>
      </c>
      <c r="CB15">
        <v>0</v>
      </c>
      <c r="CC15">
        <v>17</v>
      </c>
      <c r="CD15">
        <v>7</v>
      </c>
      <c r="CE15">
        <v>3</v>
      </c>
      <c r="CF15">
        <v>2</v>
      </c>
      <c r="CG15">
        <v>1</v>
      </c>
    </row>
  </sheetData>
  <mergeCells count="27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X1:Y1"/>
    <mergeCell ref="BT1:BU1"/>
    <mergeCell ref="AR1:AS1"/>
    <mergeCell ref="R1:S1"/>
    <mergeCell ref="K1:L1"/>
    <mergeCell ref="AP1:AQ1"/>
    <mergeCell ref="BF1:BG1"/>
    <mergeCell ref="N1:O1"/>
    <mergeCell ref="AK1:AL1"/>
    <mergeCell ref="T1:U1"/>
    <mergeCell ref="BD1:BE1"/>
    <mergeCell ref="AC1:AD1"/>
    <mergeCell ref="P1:Q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G5"/>
  <sheetViews>
    <sheetView workbookViewId="0">
      <selection activeCell="A6" sqref="A6: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229</v>
      </c>
      <c r="F2">
        <v>47</v>
      </c>
      <c r="G2">
        <v>23</v>
      </c>
      <c r="H2">
        <v>18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14</v>
      </c>
      <c r="P2">
        <v>2</v>
      </c>
      <c r="Q2">
        <v>2</v>
      </c>
      <c r="R2">
        <v>0</v>
      </c>
      <c r="S2">
        <v>0</v>
      </c>
      <c r="T2">
        <v>1</v>
      </c>
      <c r="U2">
        <v>0</v>
      </c>
      <c r="V2">
        <v>6</v>
      </c>
      <c r="W2">
        <v>4</v>
      </c>
      <c r="X2">
        <v>1</v>
      </c>
      <c r="Y2">
        <v>1</v>
      </c>
      <c r="Z2">
        <v>1</v>
      </c>
      <c r="AA2">
        <v>3</v>
      </c>
      <c r="AB2">
        <v>0</v>
      </c>
      <c r="AC2">
        <v>2</v>
      </c>
      <c r="AD2">
        <v>2</v>
      </c>
      <c r="AE2">
        <v>0</v>
      </c>
      <c r="AF2">
        <v>0</v>
      </c>
      <c r="AG2">
        <v>2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3</v>
      </c>
      <c r="AQ2">
        <v>0</v>
      </c>
      <c r="AR2">
        <v>2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15</v>
      </c>
      <c r="BO2">
        <v>14</v>
      </c>
      <c r="BP2">
        <v>2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9</v>
      </c>
      <c r="CD2">
        <v>6</v>
      </c>
      <c r="CE2">
        <v>5</v>
      </c>
      <c r="CF2">
        <v>5</v>
      </c>
      <c r="CG2">
        <v>5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221</v>
      </c>
      <c r="F3">
        <v>18</v>
      </c>
      <c r="G3">
        <v>14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5</v>
      </c>
      <c r="O3">
        <v>5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6</v>
      </c>
      <c r="W3">
        <v>1</v>
      </c>
      <c r="X3">
        <v>0</v>
      </c>
      <c r="Y3">
        <v>0</v>
      </c>
      <c r="Z3">
        <v>0</v>
      </c>
      <c r="AA3">
        <v>1</v>
      </c>
      <c r="AB3">
        <v>1</v>
      </c>
      <c r="AC3">
        <v>3</v>
      </c>
      <c r="AD3">
        <v>2</v>
      </c>
      <c r="AE3">
        <v>0</v>
      </c>
      <c r="AF3">
        <v>0</v>
      </c>
      <c r="AG3">
        <v>4</v>
      </c>
      <c r="AH3">
        <v>1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1</v>
      </c>
      <c r="AR3">
        <v>3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5</v>
      </c>
      <c r="BO3">
        <v>5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2</v>
      </c>
      <c r="CA3">
        <v>0</v>
      </c>
      <c r="CB3">
        <v>0</v>
      </c>
      <c r="CC3">
        <v>2</v>
      </c>
      <c r="CD3">
        <v>2</v>
      </c>
      <c r="CE3">
        <v>2</v>
      </c>
      <c r="CF3">
        <v>0</v>
      </c>
      <c r="CG3">
        <v>0</v>
      </c>
    </row>
    <row r="4" spans="1:85" x14ac:dyDescent="0.15">
      <c r="A4" t="s">
        <v>36</v>
      </c>
      <c r="B4" t="s">
        <v>38</v>
      </c>
      <c r="C4" t="s">
        <v>32</v>
      </c>
      <c r="D4" t="s">
        <v>53</v>
      </c>
      <c r="E4" t="s">
        <v>229</v>
      </c>
      <c r="F4">
        <v>15</v>
      </c>
      <c r="G4">
        <v>10</v>
      </c>
      <c r="H4">
        <v>7</v>
      </c>
      <c r="I4">
        <v>0</v>
      </c>
      <c r="J4">
        <v>0</v>
      </c>
      <c r="K4">
        <v>0</v>
      </c>
      <c r="L4">
        <v>0</v>
      </c>
      <c r="M4">
        <v>0</v>
      </c>
      <c r="N4">
        <v>6</v>
      </c>
      <c r="O4">
        <v>5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1</v>
      </c>
      <c r="Y4">
        <v>1</v>
      </c>
      <c r="Z4">
        <v>1</v>
      </c>
      <c r="AA4">
        <v>1</v>
      </c>
      <c r="AB4">
        <v>1</v>
      </c>
      <c r="AC4">
        <v>2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0</v>
      </c>
      <c r="AO4">
        <v>1</v>
      </c>
      <c r="AP4">
        <v>1</v>
      </c>
      <c r="AQ4">
        <v>1</v>
      </c>
      <c r="AR4">
        <v>2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6</v>
      </c>
      <c r="BO4">
        <v>5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2</v>
      </c>
      <c r="CD4">
        <v>1</v>
      </c>
      <c r="CE4">
        <v>1</v>
      </c>
      <c r="CF4">
        <v>2</v>
      </c>
      <c r="CG4">
        <v>2</v>
      </c>
    </row>
    <row r="5" spans="1:85" x14ac:dyDescent="0.15">
      <c r="A5" t="s">
        <v>42</v>
      </c>
      <c r="B5" t="s">
        <v>44</v>
      </c>
      <c r="C5" t="s">
        <v>32</v>
      </c>
      <c r="D5" t="s">
        <v>59</v>
      </c>
      <c r="E5" t="s">
        <v>230</v>
      </c>
      <c r="F5">
        <v>17</v>
      </c>
      <c r="G5">
        <v>15</v>
      </c>
      <c r="H5">
        <v>7</v>
      </c>
      <c r="I5">
        <v>0</v>
      </c>
      <c r="J5">
        <v>1</v>
      </c>
      <c r="K5">
        <v>0</v>
      </c>
      <c r="L5">
        <v>0</v>
      </c>
      <c r="M5">
        <v>0</v>
      </c>
      <c r="N5">
        <v>6</v>
      </c>
      <c r="O5">
        <v>4</v>
      </c>
      <c r="P5">
        <v>2</v>
      </c>
      <c r="Q5">
        <v>1</v>
      </c>
      <c r="R5">
        <v>1</v>
      </c>
      <c r="S5">
        <v>1</v>
      </c>
      <c r="T5">
        <v>0</v>
      </c>
      <c r="U5">
        <v>0</v>
      </c>
      <c r="V5">
        <v>7</v>
      </c>
      <c r="W5">
        <v>3</v>
      </c>
      <c r="X5">
        <v>2</v>
      </c>
      <c r="Y5">
        <v>0</v>
      </c>
      <c r="Z5">
        <v>0</v>
      </c>
      <c r="AA5">
        <v>3</v>
      </c>
      <c r="AB5">
        <v>2</v>
      </c>
      <c r="AC5">
        <v>2</v>
      </c>
      <c r="AD5">
        <v>0</v>
      </c>
      <c r="AE5">
        <v>91</v>
      </c>
      <c r="AF5">
        <v>0</v>
      </c>
      <c r="AG5">
        <v>4</v>
      </c>
      <c r="AH5">
        <v>3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3</v>
      </c>
      <c r="AQ5">
        <v>2</v>
      </c>
      <c r="AR5">
        <v>2</v>
      </c>
      <c r="AS5">
        <v>0</v>
      </c>
      <c r="AT5">
        <v>0</v>
      </c>
      <c r="AU5">
        <v>2</v>
      </c>
      <c r="AV5">
        <v>1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1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6</v>
      </c>
      <c r="BO5">
        <v>4</v>
      </c>
      <c r="BP5">
        <v>2</v>
      </c>
      <c r="BQ5">
        <v>1</v>
      </c>
      <c r="BR5">
        <v>0</v>
      </c>
      <c r="BS5">
        <v>0</v>
      </c>
      <c r="BT5">
        <v>1</v>
      </c>
      <c r="BU5">
        <v>1</v>
      </c>
      <c r="BV5">
        <v>1</v>
      </c>
      <c r="BW5">
        <v>0.11</v>
      </c>
      <c r="BX5">
        <v>0</v>
      </c>
      <c r="BY5">
        <v>0</v>
      </c>
      <c r="BZ5">
        <v>0</v>
      </c>
      <c r="CA5">
        <v>1</v>
      </c>
      <c r="CB5">
        <v>1</v>
      </c>
      <c r="CC5">
        <v>4</v>
      </c>
      <c r="CD5">
        <v>2</v>
      </c>
      <c r="CE5">
        <v>1</v>
      </c>
      <c r="CF5">
        <v>0</v>
      </c>
      <c r="CG5">
        <v>0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G15"/>
  <sheetViews>
    <sheetView zoomScale="75" workbookViewId="0">
      <selection activeCell="A9" sqref="A9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221</v>
      </c>
      <c r="F2">
        <v>73</v>
      </c>
      <c r="G2">
        <v>74</v>
      </c>
      <c r="H2">
        <v>60</v>
      </c>
      <c r="I2">
        <v>0</v>
      </c>
      <c r="J2">
        <v>0</v>
      </c>
      <c r="K2">
        <v>2</v>
      </c>
      <c r="L2">
        <v>0</v>
      </c>
      <c r="M2">
        <v>0.02</v>
      </c>
      <c r="N2">
        <v>56</v>
      </c>
      <c r="O2">
        <v>51</v>
      </c>
      <c r="P2">
        <v>7</v>
      </c>
      <c r="Q2">
        <v>6</v>
      </c>
      <c r="R2">
        <v>0</v>
      </c>
      <c r="S2">
        <v>0</v>
      </c>
      <c r="T2">
        <v>0</v>
      </c>
      <c r="U2">
        <v>0</v>
      </c>
      <c r="V2">
        <v>12</v>
      </c>
      <c r="W2">
        <v>8</v>
      </c>
      <c r="X2">
        <v>0</v>
      </c>
      <c r="Y2">
        <v>0</v>
      </c>
      <c r="Z2">
        <v>3</v>
      </c>
      <c r="AA2">
        <v>10</v>
      </c>
      <c r="AB2">
        <v>3</v>
      </c>
      <c r="AC2">
        <v>10</v>
      </c>
      <c r="AD2">
        <v>5</v>
      </c>
      <c r="AE2">
        <v>67</v>
      </c>
      <c r="AF2">
        <v>0</v>
      </c>
      <c r="AG2">
        <v>9</v>
      </c>
      <c r="AH2">
        <v>6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3</v>
      </c>
      <c r="AP2">
        <v>10</v>
      </c>
      <c r="AQ2">
        <v>3</v>
      </c>
      <c r="AR2">
        <v>10</v>
      </c>
      <c r="AS2">
        <v>5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2</v>
      </c>
      <c r="BA2">
        <v>0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3</v>
      </c>
      <c r="BI2">
        <v>2</v>
      </c>
      <c r="BJ2">
        <v>0</v>
      </c>
      <c r="BK2">
        <v>0</v>
      </c>
      <c r="BL2">
        <v>0</v>
      </c>
      <c r="BM2">
        <v>2</v>
      </c>
      <c r="BN2">
        <v>56</v>
      </c>
      <c r="BO2">
        <v>51</v>
      </c>
      <c r="BP2">
        <v>7</v>
      </c>
      <c r="BQ2">
        <v>6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</v>
      </c>
      <c r="BZ2">
        <v>2</v>
      </c>
      <c r="CA2">
        <v>0</v>
      </c>
      <c r="CB2">
        <v>0</v>
      </c>
      <c r="CC2">
        <v>41</v>
      </c>
      <c r="CD2">
        <v>27</v>
      </c>
      <c r="CE2">
        <v>25</v>
      </c>
      <c r="CF2">
        <v>10</v>
      </c>
      <c r="CG2">
        <v>10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231</v>
      </c>
      <c r="F3">
        <v>95</v>
      </c>
      <c r="G3">
        <v>45</v>
      </c>
      <c r="H3">
        <v>30</v>
      </c>
      <c r="I3">
        <v>0</v>
      </c>
      <c r="J3">
        <v>0</v>
      </c>
      <c r="K3">
        <v>0</v>
      </c>
      <c r="L3">
        <v>0</v>
      </c>
      <c r="M3">
        <v>0</v>
      </c>
      <c r="N3">
        <v>39</v>
      </c>
      <c r="O3">
        <v>27</v>
      </c>
      <c r="P3">
        <v>4</v>
      </c>
      <c r="Q3">
        <v>1</v>
      </c>
      <c r="R3">
        <v>0</v>
      </c>
      <c r="S3">
        <v>0</v>
      </c>
      <c r="T3">
        <v>0</v>
      </c>
      <c r="U3">
        <v>0</v>
      </c>
      <c r="V3">
        <v>4</v>
      </c>
      <c r="W3">
        <v>3</v>
      </c>
      <c r="X3">
        <v>1</v>
      </c>
      <c r="Y3">
        <v>1</v>
      </c>
      <c r="Z3">
        <v>2</v>
      </c>
      <c r="AA3">
        <v>12</v>
      </c>
      <c r="AB3">
        <v>3</v>
      </c>
      <c r="AC3">
        <v>6</v>
      </c>
      <c r="AD3">
        <v>5</v>
      </c>
      <c r="AE3">
        <v>0</v>
      </c>
      <c r="AF3">
        <v>0</v>
      </c>
      <c r="AG3">
        <v>3</v>
      </c>
      <c r="AH3">
        <v>2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12</v>
      </c>
      <c r="AQ3">
        <v>3</v>
      </c>
      <c r="AR3">
        <v>6</v>
      </c>
      <c r="AS3">
        <v>5</v>
      </c>
      <c r="AT3">
        <v>2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39</v>
      </c>
      <c r="BO3">
        <v>27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9</v>
      </c>
      <c r="BZ3">
        <v>7</v>
      </c>
      <c r="CA3">
        <v>0</v>
      </c>
      <c r="CB3">
        <v>0</v>
      </c>
      <c r="CC3">
        <v>26</v>
      </c>
      <c r="CD3">
        <v>18</v>
      </c>
      <c r="CE3">
        <v>11</v>
      </c>
      <c r="CF3">
        <v>4</v>
      </c>
      <c r="CG3">
        <v>3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230</v>
      </c>
      <c r="F4">
        <v>27</v>
      </c>
      <c r="G4">
        <v>20</v>
      </c>
      <c r="H4">
        <v>17</v>
      </c>
      <c r="I4">
        <v>0</v>
      </c>
      <c r="J4">
        <v>0</v>
      </c>
      <c r="K4">
        <v>0</v>
      </c>
      <c r="L4">
        <v>0</v>
      </c>
      <c r="M4">
        <v>0</v>
      </c>
      <c r="N4">
        <v>18</v>
      </c>
      <c r="O4">
        <v>15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0</v>
      </c>
      <c r="Y4">
        <v>0</v>
      </c>
      <c r="Z4">
        <v>0</v>
      </c>
      <c r="AA4">
        <v>3</v>
      </c>
      <c r="AB4">
        <v>1</v>
      </c>
      <c r="AC4">
        <v>0</v>
      </c>
      <c r="AD4">
        <v>0</v>
      </c>
      <c r="AE4">
        <v>0</v>
      </c>
      <c r="AF4">
        <v>0</v>
      </c>
      <c r="AG4">
        <v>2</v>
      </c>
      <c r="AH4">
        <v>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18</v>
      </c>
      <c r="BO4">
        <v>15</v>
      </c>
      <c r="BP4">
        <v>2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17</v>
      </c>
      <c r="CD4">
        <v>7</v>
      </c>
      <c r="CE4">
        <v>5</v>
      </c>
      <c r="CF4">
        <v>7</v>
      </c>
      <c r="CG4">
        <v>7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230</v>
      </c>
      <c r="F5">
        <v>100</v>
      </c>
      <c r="G5">
        <v>61</v>
      </c>
      <c r="H5">
        <v>39</v>
      </c>
      <c r="I5">
        <v>0</v>
      </c>
      <c r="J5">
        <v>0</v>
      </c>
      <c r="K5">
        <v>0</v>
      </c>
      <c r="L5">
        <v>0</v>
      </c>
      <c r="M5">
        <v>0</v>
      </c>
      <c r="N5">
        <v>37</v>
      </c>
      <c r="O5">
        <v>26</v>
      </c>
      <c r="P5">
        <v>4</v>
      </c>
      <c r="Q5">
        <v>2</v>
      </c>
      <c r="R5">
        <v>0</v>
      </c>
      <c r="S5">
        <v>0</v>
      </c>
      <c r="T5">
        <v>0</v>
      </c>
      <c r="U5">
        <v>0</v>
      </c>
      <c r="V5">
        <v>20</v>
      </c>
      <c r="W5">
        <v>12</v>
      </c>
      <c r="X5">
        <v>2</v>
      </c>
      <c r="Y5">
        <v>1</v>
      </c>
      <c r="Z5">
        <v>6</v>
      </c>
      <c r="AA5">
        <v>12</v>
      </c>
      <c r="AB5">
        <v>4</v>
      </c>
      <c r="AC5">
        <v>12</v>
      </c>
      <c r="AD5">
        <v>6</v>
      </c>
      <c r="AE5">
        <v>0</v>
      </c>
      <c r="AF5">
        <v>0</v>
      </c>
      <c r="AG5">
        <v>14</v>
      </c>
      <c r="AH5">
        <v>8</v>
      </c>
      <c r="AI5">
        <v>2</v>
      </c>
      <c r="AJ5">
        <v>1</v>
      </c>
      <c r="AK5">
        <v>0</v>
      </c>
      <c r="AL5">
        <v>0</v>
      </c>
      <c r="AM5">
        <v>0</v>
      </c>
      <c r="AN5">
        <v>0</v>
      </c>
      <c r="AO5">
        <v>6</v>
      </c>
      <c r="AP5">
        <v>12</v>
      </c>
      <c r="AQ5">
        <v>4</v>
      </c>
      <c r="AR5">
        <v>12</v>
      </c>
      <c r="AS5">
        <v>6</v>
      </c>
      <c r="AT5">
        <v>1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4</v>
      </c>
      <c r="BI5">
        <v>3</v>
      </c>
      <c r="BJ5">
        <v>0</v>
      </c>
      <c r="BK5">
        <v>0</v>
      </c>
      <c r="BL5">
        <v>1</v>
      </c>
      <c r="BM5">
        <v>1</v>
      </c>
      <c r="BN5">
        <v>37</v>
      </c>
      <c r="BO5">
        <v>26</v>
      </c>
      <c r="BP5">
        <v>4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0.04</v>
      </c>
      <c r="BX5">
        <v>0</v>
      </c>
      <c r="BY5">
        <v>4</v>
      </c>
      <c r="BZ5">
        <v>2</v>
      </c>
      <c r="CA5">
        <v>0</v>
      </c>
      <c r="CB5">
        <v>0</v>
      </c>
      <c r="CC5">
        <v>18</v>
      </c>
      <c r="CD5">
        <v>16</v>
      </c>
      <c r="CE5">
        <v>10</v>
      </c>
      <c r="CF5">
        <v>4</v>
      </c>
      <c r="CG5">
        <v>3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232</v>
      </c>
      <c r="F6">
        <v>95</v>
      </c>
      <c r="G6">
        <v>70</v>
      </c>
      <c r="H6">
        <v>44</v>
      </c>
      <c r="I6">
        <v>0</v>
      </c>
      <c r="J6">
        <v>0</v>
      </c>
      <c r="K6">
        <v>0</v>
      </c>
      <c r="L6">
        <v>0</v>
      </c>
      <c r="M6">
        <v>0</v>
      </c>
      <c r="N6">
        <v>45</v>
      </c>
      <c r="O6">
        <v>36</v>
      </c>
      <c r="P6">
        <v>4</v>
      </c>
      <c r="Q6">
        <v>0</v>
      </c>
      <c r="R6">
        <v>1</v>
      </c>
      <c r="S6">
        <v>0</v>
      </c>
      <c r="T6">
        <v>0</v>
      </c>
      <c r="U6">
        <v>0</v>
      </c>
      <c r="V6">
        <v>12</v>
      </c>
      <c r="W6">
        <v>6</v>
      </c>
      <c r="X6">
        <v>1</v>
      </c>
      <c r="Y6">
        <v>1</v>
      </c>
      <c r="Z6">
        <v>8</v>
      </c>
      <c r="AA6">
        <v>12</v>
      </c>
      <c r="AB6">
        <v>6</v>
      </c>
      <c r="AC6">
        <v>12</v>
      </c>
      <c r="AD6">
        <v>7</v>
      </c>
      <c r="AE6">
        <v>29</v>
      </c>
      <c r="AF6">
        <v>0</v>
      </c>
      <c r="AG6">
        <v>7</v>
      </c>
      <c r="AH6">
        <v>4</v>
      </c>
      <c r="AI6">
        <v>1</v>
      </c>
      <c r="AJ6">
        <v>1</v>
      </c>
      <c r="AK6">
        <v>3</v>
      </c>
      <c r="AL6">
        <v>1</v>
      </c>
      <c r="AM6">
        <v>0</v>
      </c>
      <c r="AN6">
        <v>0</v>
      </c>
      <c r="AO6">
        <v>8</v>
      </c>
      <c r="AP6">
        <v>12</v>
      </c>
      <c r="AQ6">
        <v>6</v>
      </c>
      <c r="AR6">
        <v>12</v>
      </c>
      <c r="AS6">
        <v>7</v>
      </c>
      <c r="AT6">
        <v>1</v>
      </c>
      <c r="AU6">
        <v>3</v>
      </c>
      <c r="AV6">
        <v>1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45</v>
      </c>
      <c r="BO6">
        <v>36</v>
      </c>
      <c r="BP6">
        <v>4</v>
      </c>
      <c r="BQ6">
        <v>0</v>
      </c>
      <c r="BR6">
        <v>2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7</v>
      </c>
      <c r="BZ6">
        <v>5</v>
      </c>
      <c r="CA6">
        <v>2</v>
      </c>
      <c r="CB6">
        <v>0</v>
      </c>
      <c r="CC6">
        <v>30</v>
      </c>
      <c r="CD6">
        <v>14</v>
      </c>
      <c r="CE6">
        <v>8</v>
      </c>
      <c r="CF6">
        <v>7</v>
      </c>
      <c r="CG6">
        <v>7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233</v>
      </c>
      <c r="F7">
        <v>96</v>
      </c>
      <c r="G7">
        <v>31</v>
      </c>
      <c r="H7">
        <v>24</v>
      </c>
      <c r="I7">
        <v>0</v>
      </c>
      <c r="J7">
        <v>0</v>
      </c>
      <c r="K7">
        <v>0</v>
      </c>
      <c r="L7">
        <v>0</v>
      </c>
      <c r="M7">
        <v>0</v>
      </c>
      <c r="N7">
        <v>19</v>
      </c>
      <c r="O7">
        <v>17</v>
      </c>
      <c r="P7">
        <v>2</v>
      </c>
      <c r="Q7">
        <v>2</v>
      </c>
      <c r="R7">
        <v>0</v>
      </c>
      <c r="S7">
        <v>0</v>
      </c>
      <c r="T7">
        <v>1</v>
      </c>
      <c r="U7">
        <v>1</v>
      </c>
      <c r="V7">
        <v>5</v>
      </c>
      <c r="W7">
        <v>5</v>
      </c>
      <c r="X7">
        <v>0</v>
      </c>
      <c r="Y7">
        <v>0</v>
      </c>
      <c r="Z7">
        <v>4</v>
      </c>
      <c r="AA7">
        <v>3</v>
      </c>
      <c r="AB7">
        <v>2</v>
      </c>
      <c r="AC7">
        <v>6</v>
      </c>
      <c r="AD7">
        <v>1</v>
      </c>
      <c r="AE7">
        <v>0</v>
      </c>
      <c r="AF7">
        <v>0</v>
      </c>
      <c r="AG7">
        <v>2</v>
      </c>
      <c r="AH7">
        <v>2</v>
      </c>
      <c r="AI7">
        <v>0</v>
      </c>
      <c r="AJ7">
        <v>0</v>
      </c>
      <c r="AK7">
        <v>1</v>
      </c>
      <c r="AL7">
        <v>1</v>
      </c>
      <c r="AM7">
        <v>0</v>
      </c>
      <c r="AN7">
        <v>0</v>
      </c>
      <c r="AO7">
        <v>4</v>
      </c>
      <c r="AP7">
        <v>3</v>
      </c>
      <c r="AQ7">
        <v>2</v>
      </c>
      <c r="AR7">
        <v>6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0</v>
      </c>
      <c r="BE7">
        <v>0</v>
      </c>
      <c r="BF7">
        <v>1</v>
      </c>
      <c r="BG7">
        <v>1</v>
      </c>
      <c r="BH7">
        <v>2</v>
      </c>
      <c r="BI7">
        <v>2</v>
      </c>
      <c r="BJ7">
        <v>1</v>
      </c>
      <c r="BK7">
        <v>0</v>
      </c>
      <c r="BL7">
        <v>0</v>
      </c>
      <c r="BM7">
        <v>0</v>
      </c>
      <c r="BN7">
        <v>19</v>
      </c>
      <c r="BO7">
        <v>17</v>
      </c>
      <c r="BP7">
        <v>2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0.7</v>
      </c>
      <c r="BX7">
        <v>0</v>
      </c>
      <c r="BY7">
        <v>3</v>
      </c>
      <c r="BZ7">
        <v>3</v>
      </c>
      <c r="CA7">
        <v>1</v>
      </c>
      <c r="CB7">
        <v>1</v>
      </c>
      <c r="CC7">
        <v>8</v>
      </c>
      <c r="CD7">
        <v>14</v>
      </c>
      <c r="CE7">
        <v>12</v>
      </c>
      <c r="CF7">
        <v>0</v>
      </c>
      <c r="CG7">
        <v>0</v>
      </c>
    </row>
    <row r="8" spans="1:85" x14ac:dyDescent="0.15">
      <c r="A8" t="s">
        <v>42</v>
      </c>
      <c r="B8" t="s">
        <v>44</v>
      </c>
      <c r="C8" t="s">
        <v>32</v>
      </c>
      <c r="D8" t="s">
        <v>59</v>
      </c>
      <c r="E8" t="s">
        <v>230</v>
      </c>
      <c r="F8">
        <v>84</v>
      </c>
      <c r="G8">
        <v>72</v>
      </c>
      <c r="H8">
        <v>56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44</v>
      </c>
      <c r="P8">
        <v>5</v>
      </c>
      <c r="Q8">
        <v>3</v>
      </c>
      <c r="R8">
        <v>2</v>
      </c>
      <c r="S8">
        <v>0</v>
      </c>
      <c r="T8">
        <v>1</v>
      </c>
      <c r="U8">
        <v>1</v>
      </c>
      <c r="V8">
        <v>14</v>
      </c>
      <c r="W8">
        <v>10</v>
      </c>
      <c r="X8">
        <v>1</v>
      </c>
      <c r="Y8">
        <v>1</v>
      </c>
      <c r="Z8">
        <v>8</v>
      </c>
      <c r="AA8">
        <v>9</v>
      </c>
      <c r="AB8">
        <v>2</v>
      </c>
      <c r="AC8">
        <v>14</v>
      </c>
      <c r="AD8">
        <v>7</v>
      </c>
      <c r="AE8">
        <v>24</v>
      </c>
      <c r="AF8">
        <v>0</v>
      </c>
      <c r="AG8">
        <v>9</v>
      </c>
      <c r="AH8">
        <v>8</v>
      </c>
      <c r="AI8">
        <v>1</v>
      </c>
      <c r="AJ8">
        <v>1</v>
      </c>
      <c r="AK8">
        <v>2</v>
      </c>
      <c r="AL8">
        <v>0</v>
      </c>
      <c r="AM8">
        <v>0</v>
      </c>
      <c r="AN8">
        <v>0</v>
      </c>
      <c r="AO8">
        <v>8</v>
      </c>
      <c r="AP8">
        <v>9</v>
      </c>
      <c r="AQ8">
        <v>2</v>
      </c>
      <c r="AR8">
        <v>14</v>
      </c>
      <c r="AS8">
        <v>7</v>
      </c>
      <c r="AT8">
        <v>0</v>
      </c>
      <c r="AU8">
        <v>2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1</v>
      </c>
      <c r="BG8">
        <v>1</v>
      </c>
      <c r="BH8">
        <v>2</v>
      </c>
      <c r="BI8">
        <v>1</v>
      </c>
      <c r="BJ8">
        <v>0</v>
      </c>
      <c r="BK8">
        <v>0</v>
      </c>
      <c r="BL8">
        <v>1</v>
      </c>
      <c r="BM8">
        <v>0</v>
      </c>
      <c r="BN8">
        <v>51</v>
      </c>
      <c r="BO8">
        <v>44</v>
      </c>
      <c r="BP8">
        <v>5</v>
      </c>
      <c r="BQ8">
        <v>3</v>
      </c>
      <c r="BR8">
        <v>0</v>
      </c>
      <c r="BS8">
        <v>0</v>
      </c>
      <c r="BT8">
        <v>2</v>
      </c>
      <c r="BU8">
        <v>0</v>
      </c>
      <c r="BV8">
        <v>0</v>
      </c>
      <c r="BW8">
        <v>0</v>
      </c>
      <c r="BX8">
        <v>0</v>
      </c>
      <c r="BY8">
        <v>9</v>
      </c>
      <c r="BZ8">
        <v>7</v>
      </c>
      <c r="CA8">
        <v>2</v>
      </c>
      <c r="CB8">
        <v>0</v>
      </c>
      <c r="CC8">
        <v>30</v>
      </c>
      <c r="CD8">
        <v>23</v>
      </c>
      <c r="CE8">
        <v>20</v>
      </c>
      <c r="CF8">
        <v>6</v>
      </c>
      <c r="CG8">
        <v>6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230</v>
      </c>
      <c r="F9">
        <v>100</v>
      </c>
      <c r="G9">
        <v>70</v>
      </c>
      <c r="H9">
        <v>46</v>
      </c>
      <c r="I9">
        <v>0</v>
      </c>
      <c r="J9">
        <v>0</v>
      </c>
      <c r="K9">
        <v>0</v>
      </c>
      <c r="L9">
        <v>0</v>
      </c>
      <c r="M9">
        <v>0</v>
      </c>
      <c r="N9">
        <v>38</v>
      </c>
      <c r="O9">
        <v>29</v>
      </c>
      <c r="P9">
        <v>10</v>
      </c>
      <c r="Q9">
        <v>6</v>
      </c>
      <c r="R9">
        <v>0</v>
      </c>
      <c r="S9">
        <v>0</v>
      </c>
      <c r="T9">
        <v>0</v>
      </c>
      <c r="U9">
        <v>0</v>
      </c>
      <c r="V9">
        <v>25</v>
      </c>
      <c r="W9">
        <v>16</v>
      </c>
      <c r="X9">
        <v>1</v>
      </c>
      <c r="Y9">
        <v>1</v>
      </c>
      <c r="Z9">
        <v>6</v>
      </c>
      <c r="AA9">
        <v>11</v>
      </c>
      <c r="AB9">
        <v>5</v>
      </c>
      <c r="AC9">
        <v>16</v>
      </c>
      <c r="AD9">
        <v>5</v>
      </c>
      <c r="AE9">
        <v>0</v>
      </c>
      <c r="AF9">
        <v>0</v>
      </c>
      <c r="AG9">
        <v>20</v>
      </c>
      <c r="AH9">
        <v>13</v>
      </c>
      <c r="AI9">
        <v>1</v>
      </c>
      <c r="AJ9">
        <v>1</v>
      </c>
      <c r="AK9">
        <v>4</v>
      </c>
      <c r="AL9">
        <v>2</v>
      </c>
      <c r="AM9">
        <v>3</v>
      </c>
      <c r="AN9">
        <v>1</v>
      </c>
      <c r="AO9">
        <v>6</v>
      </c>
      <c r="AP9">
        <v>11</v>
      </c>
      <c r="AQ9">
        <v>5</v>
      </c>
      <c r="AR9">
        <v>16</v>
      </c>
      <c r="AS9">
        <v>5</v>
      </c>
      <c r="AT9">
        <v>1</v>
      </c>
      <c r="AU9">
        <v>2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38</v>
      </c>
      <c r="BO9">
        <v>29</v>
      </c>
      <c r="BP9">
        <v>10</v>
      </c>
      <c r="BQ9">
        <v>6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6</v>
      </c>
      <c r="BZ9">
        <v>4</v>
      </c>
      <c r="CA9">
        <v>1</v>
      </c>
      <c r="CB9">
        <v>1</v>
      </c>
      <c r="CC9">
        <v>13</v>
      </c>
      <c r="CD9">
        <v>17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73</v>
      </c>
      <c r="G10">
        <v>39</v>
      </c>
      <c r="H10">
        <v>16</v>
      </c>
      <c r="I10">
        <v>0</v>
      </c>
      <c r="J10">
        <v>0</v>
      </c>
      <c r="K10">
        <v>1</v>
      </c>
      <c r="L10">
        <v>0</v>
      </c>
      <c r="M10">
        <v>0</v>
      </c>
      <c r="N10">
        <v>15</v>
      </c>
      <c r="O10">
        <v>10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12</v>
      </c>
      <c r="W10">
        <v>4</v>
      </c>
      <c r="X10">
        <v>1</v>
      </c>
      <c r="Y10">
        <v>0</v>
      </c>
      <c r="Z10">
        <v>6</v>
      </c>
      <c r="AA10">
        <v>5</v>
      </c>
      <c r="AB10">
        <v>2</v>
      </c>
      <c r="AC10">
        <v>7</v>
      </c>
      <c r="AD10">
        <v>3</v>
      </c>
      <c r="AE10">
        <v>56</v>
      </c>
      <c r="AF10">
        <v>0</v>
      </c>
      <c r="AG10">
        <v>9</v>
      </c>
      <c r="AH10">
        <v>3</v>
      </c>
      <c r="AI10">
        <v>1</v>
      </c>
      <c r="AJ10">
        <v>0</v>
      </c>
      <c r="AK10">
        <v>2</v>
      </c>
      <c r="AL10">
        <v>1</v>
      </c>
      <c r="AM10">
        <v>0</v>
      </c>
      <c r="AN10">
        <v>0</v>
      </c>
      <c r="AO10">
        <v>6</v>
      </c>
      <c r="AP10">
        <v>5</v>
      </c>
      <c r="AQ10">
        <v>2</v>
      </c>
      <c r="AR10">
        <v>7</v>
      </c>
      <c r="AS10">
        <v>3</v>
      </c>
      <c r="AT10">
        <v>0</v>
      </c>
      <c r="AU10">
        <v>7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15</v>
      </c>
      <c r="BO10">
        <v>10</v>
      </c>
      <c r="BP10">
        <v>2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0.02</v>
      </c>
      <c r="BX10">
        <v>0</v>
      </c>
      <c r="BY10">
        <v>3</v>
      </c>
      <c r="BZ10">
        <v>1</v>
      </c>
      <c r="CA10">
        <v>0</v>
      </c>
      <c r="CB10">
        <v>0</v>
      </c>
      <c r="CC10">
        <v>7</v>
      </c>
      <c r="CD10">
        <v>11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230</v>
      </c>
      <c r="F11">
        <v>98</v>
      </c>
      <c r="G11">
        <v>57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27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13</v>
      </c>
      <c r="W11">
        <v>9</v>
      </c>
      <c r="X11">
        <v>3</v>
      </c>
      <c r="Y11">
        <v>1</v>
      </c>
      <c r="Z11">
        <v>3</v>
      </c>
      <c r="AA11">
        <v>10</v>
      </c>
      <c r="AB11">
        <v>6</v>
      </c>
      <c r="AC11">
        <v>6</v>
      </c>
      <c r="AD11">
        <v>3</v>
      </c>
      <c r="AE11">
        <v>0</v>
      </c>
      <c r="AF11">
        <v>0</v>
      </c>
      <c r="AG11">
        <v>8</v>
      </c>
      <c r="AH11">
        <v>7</v>
      </c>
      <c r="AI11">
        <v>3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3</v>
      </c>
      <c r="AP11">
        <v>10</v>
      </c>
      <c r="AQ11">
        <v>6</v>
      </c>
      <c r="AR11">
        <v>6</v>
      </c>
      <c r="AS11">
        <v>3</v>
      </c>
      <c r="AT11">
        <v>4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35</v>
      </c>
      <c r="BO11">
        <v>27</v>
      </c>
      <c r="BP11">
        <v>2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0.09</v>
      </c>
      <c r="BX11">
        <v>0</v>
      </c>
      <c r="BY11">
        <v>6</v>
      </c>
      <c r="BZ11">
        <v>3</v>
      </c>
      <c r="CA11">
        <v>0</v>
      </c>
      <c r="CB11">
        <v>0</v>
      </c>
      <c r="CC11">
        <v>25</v>
      </c>
      <c r="CD11">
        <v>11</v>
      </c>
      <c r="CE11">
        <v>7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232</v>
      </c>
      <c r="F12">
        <v>99</v>
      </c>
      <c r="G12">
        <v>75</v>
      </c>
      <c r="H12">
        <v>53</v>
      </c>
      <c r="I12">
        <v>0</v>
      </c>
      <c r="J12">
        <v>0</v>
      </c>
      <c r="K12">
        <v>1</v>
      </c>
      <c r="L12">
        <v>0</v>
      </c>
      <c r="M12">
        <v>0.03</v>
      </c>
      <c r="N12">
        <v>43</v>
      </c>
      <c r="O12">
        <v>36</v>
      </c>
      <c r="P12">
        <v>5</v>
      </c>
      <c r="Q12">
        <v>2</v>
      </c>
      <c r="R12">
        <v>1</v>
      </c>
      <c r="S12">
        <v>0</v>
      </c>
      <c r="T12">
        <v>2</v>
      </c>
      <c r="U12">
        <v>0</v>
      </c>
      <c r="V12">
        <v>25</v>
      </c>
      <c r="W12">
        <v>14</v>
      </c>
      <c r="X12">
        <v>2</v>
      </c>
      <c r="Y12">
        <v>1</v>
      </c>
      <c r="Z12">
        <v>1</v>
      </c>
      <c r="AA12">
        <v>12</v>
      </c>
      <c r="AB12">
        <v>2</v>
      </c>
      <c r="AC12">
        <v>10</v>
      </c>
      <c r="AD12">
        <v>4</v>
      </c>
      <c r="AE12">
        <v>0</v>
      </c>
      <c r="AF12">
        <v>0</v>
      </c>
      <c r="AG12">
        <v>10</v>
      </c>
      <c r="AH12">
        <v>8</v>
      </c>
      <c r="AI12">
        <v>2</v>
      </c>
      <c r="AJ12">
        <v>1</v>
      </c>
      <c r="AK12">
        <v>9</v>
      </c>
      <c r="AL12">
        <v>5</v>
      </c>
      <c r="AM12">
        <v>1</v>
      </c>
      <c r="AN12">
        <v>0</v>
      </c>
      <c r="AO12">
        <v>1</v>
      </c>
      <c r="AP12">
        <v>12</v>
      </c>
      <c r="AQ12">
        <v>2</v>
      </c>
      <c r="AR12">
        <v>10</v>
      </c>
      <c r="AS12">
        <v>4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0.03</v>
      </c>
      <c r="BC12">
        <v>2</v>
      </c>
      <c r="BD12">
        <v>1</v>
      </c>
      <c r="BE12">
        <v>0</v>
      </c>
      <c r="BF12">
        <v>2</v>
      </c>
      <c r="BG12">
        <v>0</v>
      </c>
      <c r="BH12">
        <v>4</v>
      </c>
      <c r="BI12">
        <v>0</v>
      </c>
      <c r="BJ12">
        <v>0</v>
      </c>
      <c r="BK12">
        <v>0</v>
      </c>
      <c r="BL12">
        <v>1</v>
      </c>
      <c r="BM12">
        <v>1</v>
      </c>
      <c r="BN12">
        <v>43</v>
      </c>
      <c r="BO12">
        <v>36</v>
      </c>
      <c r="BP12">
        <v>5</v>
      </c>
      <c r="BQ12">
        <v>2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0.04</v>
      </c>
      <c r="BX12">
        <v>0</v>
      </c>
      <c r="BY12">
        <v>7</v>
      </c>
      <c r="BZ12">
        <v>6</v>
      </c>
      <c r="CA12">
        <v>2</v>
      </c>
      <c r="CB12">
        <v>0</v>
      </c>
      <c r="CC12">
        <v>27</v>
      </c>
      <c r="CD12">
        <v>15</v>
      </c>
      <c r="CE12">
        <v>11</v>
      </c>
      <c r="CF12">
        <v>6</v>
      </c>
      <c r="CG12">
        <v>6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230</v>
      </c>
      <c r="F13">
        <v>91</v>
      </c>
      <c r="G13">
        <v>72</v>
      </c>
      <c r="H13">
        <v>53</v>
      </c>
      <c r="I13">
        <v>0</v>
      </c>
      <c r="J13">
        <v>0</v>
      </c>
      <c r="K13">
        <v>1</v>
      </c>
      <c r="L13">
        <v>1</v>
      </c>
      <c r="M13">
        <v>0.03</v>
      </c>
      <c r="N13">
        <v>53</v>
      </c>
      <c r="O13">
        <v>45</v>
      </c>
      <c r="P13">
        <v>8</v>
      </c>
      <c r="Q13">
        <v>4</v>
      </c>
      <c r="R13">
        <v>0</v>
      </c>
      <c r="S13">
        <v>0</v>
      </c>
      <c r="T13">
        <v>0</v>
      </c>
      <c r="U13">
        <v>0</v>
      </c>
      <c r="V13">
        <v>11</v>
      </c>
      <c r="W13">
        <v>6</v>
      </c>
      <c r="X13">
        <v>2</v>
      </c>
      <c r="Y13">
        <v>1</v>
      </c>
      <c r="Z13">
        <v>3</v>
      </c>
      <c r="AA13">
        <v>7</v>
      </c>
      <c r="AB13">
        <v>0</v>
      </c>
      <c r="AC13">
        <v>7</v>
      </c>
      <c r="AD13">
        <v>5</v>
      </c>
      <c r="AE13">
        <v>66</v>
      </c>
      <c r="AF13">
        <v>0</v>
      </c>
      <c r="AG13">
        <v>6</v>
      </c>
      <c r="AH13">
        <v>4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3</v>
      </c>
      <c r="AP13">
        <v>7</v>
      </c>
      <c r="AQ13">
        <v>0</v>
      </c>
      <c r="AR13">
        <v>7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3</v>
      </c>
      <c r="BI13">
        <v>1</v>
      </c>
      <c r="BJ13">
        <v>0</v>
      </c>
      <c r="BK13">
        <v>0</v>
      </c>
      <c r="BL13">
        <v>2</v>
      </c>
      <c r="BM13">
        <v>1</v>
      </c>
      <c r="BN13">
        <v>53</v>
      </c>
      <c r="BO13">
        <v>45</v>
      </c>
      <c r="BP13">
        <v>8</v>
      </c>
      <c r="BQ13">
        <v>4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9</v>
      </c>
      <c r="BZ13">
        <v>6</v>
      </c>
      <c r="CA13">
        <v>0</v>
      </c>
      <c r="CB13">
        <v>0</v>
      </c>
      <c r="CC13">
        <v>41</v>
      </c>
      <c r="CD13">
        <v>18</v>
      </c>
      <c r="CE13">
        <v>13</v>
      </c>
      <c r="CF13">
        <v>7</v>
      </c>
      <c r="CG13">
        <v>7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230</v>
      </c>
      <c r="F14">
        <v>102</v>
      </c>
      <c r="G14">
        <v>86</v>
      </c>
      <c r="H14">
        <v>66</v>
      </c>
      <c r="I14">
        <v>0</v>
      </c>
      <c r="J14">
        <v>0</v>
      </c>
      <c r="K14">
        <v>3</v>
      </c>
      <c r="L14">
        <v>1</v>
      </c>
      <c r="M14">
        <v>0.09</v>
      </c>
      <c r="N14">
        <v>64</v>
      </c>
      <c r="O14">
        <v>56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14</v>
      </c>
      <c r="W14">
        <v>8</v>
      </c>
      <c r="X14">
        <v>2</v>
      </c>
      <c r="Y14">
        <v>1</v>
      </c>
      <c r="Z14">
        <v>2</v>
      </c>
      <c r="AA14">
        <v>6</v>
      </c>
      <c r="AB14">
        <v>4</v>
      </c>
      <c r="AC14">
        <v>11</v>
      </c>
      <c r="AD14">
        <v>6</v>
      </c>
      <c r="AE14">
        <v>1</v>
      </c>
      <c r="AF14">
        <v>0</v>
      </c>
      <c r="AG14">
        <v>11</v>
      </c>
      <c r="AH14">
        <v>6</v>
      </c>
      <c r="AI14">
        <v>2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2</v>
      </c>
      <c r="AP14">
        <v>6</v>
      </c>
      <c r="AQ14">
        <v>4</v>
      </c>
      <c r="AR14">
        <v>11</v>
      </c>
      <c r="AS14">
        <v>6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3</v>
      </c>
      <c r="BA14">
        <v>1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0</v>
      </c>
      <c r="BK14">
        <v>0</v>
      </c>
      <c r="BL14">
        <v>0</v>
      </c>
      <c r="BM14">
        <v>1</v>
      </c>
      <c r="BN14">
        <v>64</v>
      </c>
      <c r="BO14">
        <v>56</v>
      </c>
      <c r="BP14">
        <v>2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7</v>
      </c>
      <c r="BZ14">
        <v>5</v>
      </c>
      <c r="CA14">
        <v>0</v>
      </c>
      <c r="CB14">
        <v>0</v>
      </c>
      <c r="CC14">
        <v>46</v>
      </c>
      <c r="CD14">
        <v>18</v>
      </c>
      <c r="CE14">
        <v>14</v>
      </c>
      <c r="CF14">
        <v>8</v>
      </c>
      <c r="CG14">
        <v>8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229</v>
      </c>
      <c r="F15">
        <v>106</v>
      </c>
      <c r="G15">
        <v>43</v>
      </c>
      <c r="H15">
        <v>23</v>
      </c>
      <c r="I15">
        <v>0</v>
      </c>
      <c r="J15">
        <v>0</v>
      </c>
      <c r="K15">
        <v>1</v>
      </c>
      <c r="L15">
        <v>1</v>
      </c>
      <c r="M15">
        <v>0.15</v>
      </c>
      <c r="N15">
        <v>19</v>
      </c>
      <c r="O15">
        <v>14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15</v>
      </c>
      <c r="W15">
        <v>8</v>
      </c>
      <c r="X15">
        <v>1</v>
      </c>
      <c r="Y15">
        <v>1</v>
      </c>
      <c r="Z15">
        <v>6</v>
      </c>
      <c r="AA15">
        <v>3</v>
      </c>
      <c r="AB15">
        <v>0</v>
      </c>
      <c r="AC15">
        <v>5</v>
      </c>
      <c r="AD15">
        <v>3</v>
      </c>
      <c r="AE15">
        <v>3</v>
      </c>
      <c r="AF15">
        <v>0</v>
      </c>
      <c r="AG15">
        <v>11</v>
      </c>
      <c r="AH15">
        <v>4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6</v>
      </c>
      <c r="AP15">
        <v>3</v>
      </c>
      <c r="AQ15">
        <v>0</v>
      </c>
      <c r="AR15">
        <v>5</v>
      </c>
      <c r="AS15">
        <v>3</v>
      </c>
      <c r="AT15">
        <v>0</v>
      </c>
      <c r="AU15">
        <v>3</v>
      </c>
      <c r="AV15">
        <v>3</v>
      </c>
      <c r="AW15">
        <v>0</v>
      </c>
      <c r="AX15">
        <v>0</v>
      </c>
      <c r="AY15">
        <v>0</v>
      </c>
      <c r="AZ15">
        <v>1</v>
      </c>
      <c r="BA15">
        <v>1</v>
      </c>
      <c r="BB15">
        <v>0.15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</v>
      </c>
      <c r="BI15">
        <v>3</v>
      </c>
      <c r="BJ15">
        <v>0</v>
      </c>
      <c r="BK15">
        <v>0</v>
      </c>
      <c r="BL15">
        <v>0</v>
      </c>
      <c r="BM15">
        <v>3</v>
      </c>
      <c r="BN15">
        <v>19</v>
      </c>
      <c r="BO15">
        <v>14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0</v>
      </c>
      <c r="CB15">
        <v>0</v>
      </c>
      <c r="CC15">
        <v>28</v>
      </c>
      <c r="CD15">
        <v>8</v>
      </c>
      <c r="CE15">
        <v>5</v>
      </c>
      <c r="CF15">
        <v>6</v>
      </c>
      <c r="CG15">
        <v>5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N16"/>
  <sheetViews>
    <sheetView topLeftCell="BK1" zoomScale="75" workbookViewId="0">
      <selection activeCell="BN15" sqref="BN15:CG17"/>
    </sheetView>
  </sheetViews>
  <sheetFormatPr baseColWidth="10" defaultRowHeight="14" x14ac:dyDescent="0.15"/>
  <sheetData>
    <row r="1" spans="1:92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  <c r="CH1" s="5"/>
      <c r="CI1" s="5"/>
      <c r="CK1" s="5"/>
      <c r="CL1" s="5"/>
      <c r="CM1" s="5"/>
      <c r="CN1" s="5"/>
    </row>
    <row r="2" spans="1:92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27</v>
      </c>
      <c r="G2">
        <v>20</v>
      </c>
      <c r="H2">
        <v>15</v>
      </c>
      <c r="I2">
        <v>0</v>
      </c>
      <c r="J2">
        <v>0</v>
      </c>
      <c r="K2">
        <v>0</v>
      </c>
      <c r="L2">
        <v>0</v>
      </c>
      <c r="M2">
        <v>0</v>
      </c>
      <c r="N2">
        <v>9</v>
      </c>
      <c r="O2">
        <v>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10</v>
      </c>
      <c r="W2">
        <v>7</v>
      </c>
      <c r="X2">
        <v>2</v>
      </c>
      <c r="Y2">
        <v>2</v>
      </c>
      <c r="Z2">
        <v>0</v>
      </c>
      <c r="AA2">
        <v>5</v>
      </c>
      <c r="AB2">
        <v>1</v>
      </c>
      <c r="AC2">
        <v>4</v>
      </c>
      <c r="AD2">
        <v>1</v>
      </c>
      <c r="AE2">
        <v>0</v>
      </c>
      <c r="AF2">
        <v>0</v>
      </c>
      <c r="AG2">
        <v>2</v>
      </c>
      <c r="AH2">
        <v>2</v>
      </c>
      <c r="AI2">
        <v>2</v>
      </c>
      <c r="AJ2">
        <v>2</v>
      </c>
      <c r="AK2">
        <v>3</v>
      </c>
      <c r="AL2">
        <v>2</v>
      </c>
      <c r="AM2">
        <v>0</v>
      </c>
      <c r="AN2">
        <v>0</v>
      </c>
      <c r="AO2">
        <v>0</v>
      </c>
      <c r="AP2">
        <v>5</v>
      </c>
      <c r="AQ2">
        <v>1</v>
      </c>
      <c r="AR2">
        <v>4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1</v>
      </c>
      <c r="BG2">
        <v>0</v>
      </c>
      <c r="BH2">
        <v>3</v>
      </c>
      <c r="BI2">
        <v>1</v>
      </c>
      <c r="BJ2">
        <v>0</v>
      </c>
      <c r="BK2">
        <v>0</v>
      </c>
      <c r="BL2">
        <v>1</v>
      </c>
      <c r="BM2">
        <v>1</v>
      </c>
      <c r="BN2">
        <v>9</v>
      </c>
      <c r="BO2">
        <v>7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0.13</v>
      </c>
      <c r="BX2">
        <v>0</v>
      </c>
      <c r="BY2">
        <v>2</v>
      </c>
      <c r="BZ2">
        <v>1</v>
      </c>
      <c r="CA2">
        <v>0</v>
      </c>
      <c r="CB2">
        <v>0</v>
      </c>
      <c r="CC2">
        <v>5</v>
      </c>
      <c r="CD2">
        <v>2</v>
      </c>
      <c r="CE2">
        <v>1</v>
      </c>
      <c r="CF2">
        <v>4</v>
      </c>
      <c r="CG2">
        <v>3</v>
      </c>
    </row>
    <row r="3" spans="1:92" x14ac:dyDescent="0.15">
      <c r="A3" t="s">
        <v>90</v>
      </c>
      <c r="B3" t="s">
        <v>98</v>
      </c>
      <c r="C3" t="s">
        <v>32</v>
      </c>
      <c r="D3" t="s">
        <v>97</v>
      </c>
      <c r="E3" t="s">
        <v>235</v>
      </c>
      <c r="F3">
        <v>95</v>
      </c>
      <c r="G3">
        <v>57</v>
      </c>
      <c r="H3">
        <v>34</v>
      </c>
      <c r="I3">
        <v>0</v>
      </c>
      <c r="J3">
        <v>0</v>
      </c>
      <c r="K3">
        <v>1</v>
      </c>
      <c r="L3">
        <v>0</v>
      </c>
      <c r="M3">
        <v>0</v>
      </c>
      <c r="N3">
        <v>31</v>
      </c>
      <c r="O3">
        <v>25</v>
      </c>
      <c r="P3">
        <v>3</v>
      </c>
      <c r="Q3">
        <v>0</v>
      </c>
      <c r="R3">
        <v>0</v>
      </c>
      <c r="S3">
        <v>0</v>
      </c>
      <c r="T3">
        <v>5</v>
      </c>
      <c r="U3">
        <v>4</v>
      </c>
      <c r="V3">
        <v>20</v>
      </c>
      <c r="W3">
        <v>8</v>
      </c>
      <c r="X3">
        <v>4</v>
      </c>
      <c r="Y3">
        <v>1</v>
      </c>
      <c r="Z3">
        <v>1</v>
      </c>
      <c r="AA3">
        <v>7</v>
      </c>
      <c r="AB3">
        <v>1</v>
      </c>
      <c r="AC3">
        <v>4</v>
      </c>
      <c r="AD3">
        <v>1</v>
      </c>
      <c r="AE3">
        <v>0</v>
      </c>
      <c r="AF3">
        <v>0</v>
      </c>
      <c r="AG3">
        <v>7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7</v>
      </c>
      <c r="AQ3">
        <v>1</v>
      </c>
      <c r="AR3">
        <v>4</v>
      </c>
      <c r="AS3">
        <v>1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1</v>
      </c>
      <c r="BD3">
        <v>0</v>
      </c>
      <c r="BE3">
        <v>0</v>
      </c>
      <c r="BF3">
        <v>5</v>
      </c>
      <c r="BG3">
        <v>4</v>
      </c>
      <c r="BH3">
        <v>9</v>
      </c>
      <c r="BI3">
        <v>4</v>
      </c>
      <c r="BJ3">
        <v>0</v>
      </c>
      <c r="BK3">
        <v>1</v>
      </c>
      <c r="BL3">
        <v>1</v>
      </c>
      <c r="BM3">
        <v>2</v>
      </c>
      <c r="BN3">
        <v>31</v>
      </c>
      <c r="BO3">
        <v>25</v>
      </c>
      <c r="BP3">
        <v>3</v>
      </c>
      <c r="BQ3">
        <v>0</v>
      </c>
      <c r="BR3">
        <v>1</v>
      </c>
      <c r="BS3">
        <v>0</v>
      </c>
      <c r="BT3">
        <v>0</v>
      </c>
      <c r="BU3">
        <v>0</v>
      </c>
      <c r="BV3">
        <v>0</v>
      </c>
      <c r="BW3">
        <v>0.14000000000000001</v>
      </c>
      <c r="BX3">
        <v>0</v>
      </c>
      <c r="BY3">
        <v>2</v>
      </c>
      <c r="BZ3">
        <v>2</v>
      </c>
      <c r="CA3">
        <v>1</v>
      </c>
      <c r="CB3">
        <v>1</v>
      </c>
      <c r="CC3">
        <v>29</v>
      </c>
      <c r="CD3">
        <v>11</v>
      </c>
      <c r="CE3">
        <v>8</v>
      </c>
      <c r="CF3">
        <v>8</v>
      </c>
      <c r="CG3">
        <v>8</v>
      </c>
    </row>
    <row r="4" spans="1:92" x14ac:dyDescent="0.15">
      <c r="A4" t="s">
        <v>77</v>
      </c>
      <c r="B4" t="s">
        <v>79</v>
      </c>
      <c r="C4" t="s">
        <v>32</v>
      </c>
      <c r="D4" t="s">
        <v>30</v>
      </c>
      <c r="E4" t="s">
        <v>221</v>
      </c>
      <c r="F4">
        <v>93</v>
      </c>
      <c r="G4">
        <v>63</v>
      </c>
      <c r="H4">
        <v>44</v>
      </c>
      <c r="I4">
        <v>0</v>
      </c>
      <c r="J4">
        <v>0</v>
      </c>
      <c r="K4">
        <v>1</v>
      </c>
      <c r="L4">
        <v>1</v>
      </c>
      <c r="M4">
        <v>0.03</v>
      </c>
      <c r="N4">
        <v>38</v>
      </c>
      <c r="O4">
        <v>33</v>
      </c>
      <c r="P4">
        <v>1</v>
      </c>
      <c r="Q4">
        <v>1</v>
      </c>
      <c r="R4">
        <v>2</v>
      </c>
      <c r="S4">
        <v>0</v>
      </c>
      <c r="T4">
        <v>2</v>
      </c>
      <c r="U4">
        <v>2</v>
      </c>
      <c r="V4">
        <v>17</v>
      </c>
      <c r="W4">
        <v>9</v>
      </c>
      <c r="X4">
        <v>0</v>
      </c>
      <c r="Y4">
        <v>0</v>
      </c>
      <c r="Z4">
        <v>1</v>
      </c>
      <c r="AA4">
        <v>10</v>
      </c>
      <c r="AB4">
        <v>2</v>
      </c>
      <c r="AC4">
        <v>5</v>
      </c>
      <c r="AD4">
        <v>2</v>
      </c>
      <c r="AE4">
        <v>0</v>
      </c>
      <c r="AF4">
        <v>0</v>
      </c>
      <c r="AG4">
        <v>8</v>
      </c>
      <c r="AH4">
        <v>5</v>
      </c>
      <c r="AI4">
        <v>0</v>
      </c>
      <c r="AJ4">
        <v>0</v>
      </c>
      <c r="AK4">
        <v>1</v>
      </c>
      <c r="AL4">
        <v>0</v>
      </c>
      <c r="AM4">
        <v>2</v>
      </c>
      <c r="AN4">
        <v>2</v>
      </c>
      <c r="AO4">
        <v>1</v>
      </c>
      <c r="AP4">
        <v>10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0.03</v>
      </c>
      <c r="BC4">
        <v>0</v>
      </c>
      <c r="BD4">
        <v>2</v>
      </c>
      <c r="BE4">
        <v>0</v>
      </c>
      <c r="BF4">
        <v>2</v>
      </c>
      <c r="BG4">
        <v>2</v>
      </c>
      <c r="BH4">
        <v>8</v>
      </c>
      <c r="BI4">
        <v>4</v>
      </c>
      <c r="BJ4">
        <v>2</v>
      </c>
      <c r="BK4">
        <v>0</v>
      </c>
      <c r="BL4">
        <v>2</v>
      </c>
      <c r="BM4">
        <v>1</v>
      </c>
      <c r="BN4">
        <v>38</v>
      </c>
      <c r="BO4">
        <v>33</v>
      </c>
      <c r="BP4">
        <v>1</v>
      </c>
      <c r="BQ4">
        <v>1</v>
      </c>
      <c r="BR4">
        <v>0</v>
      </c>
      <c r="BS4">
        <v>0</v>
      </c>
      <c r="BT4">
        <v>2</v>
      </c>
      <c r="BU4">
        <v>0</v>
      </c>
      <c r="BV4">
        <v>0</v>
      </c>
      <c r="BW4">
        <v>0</v>
      </c>
      <c r="BX4">
        <v>0</v>
      </c>
      <c r="BY4">
        <v>6</v>
      </c>
      <c r="BZ4">
        <v>5</v>
      </c>
      <c r="CA4">
        <v>1</v>
      </c>
      <c r="CB4">
        <v>0</v>
      </c>
      <c r="CC4">
        <v>32</v>
      </c>
      <c r="CD4">
        <v>8</v>
      </c>
      <c r="CE4">
        <v>7</v>
      </c>
      <c r="CF4">
        <v>12</v>
      </c>
      <c r="CG4">
        <v>11</v>
      </c>
    </row>
    <row r="5" spans="1:92" x14ac:dyDescent="0.15">
      <c r="A5" t="s">
        <v>80</v>
      </c>
      <c r="B5" t="s">
        <v>82</v>
      </c>
      <c r="C5" t="s">
        <v>32</v>
      </c>
      <c r="D5" t="s">
        <v>37</v>
      </c>
      <c r="E5" t="s">
        <v>236</v>
      </c>
      <c r="F5">
        <v>96</v>
      </c>
      <c r="G5">
        <v>79</v>
      </c>
      <c r="H5">
        <v>53</v>
      </c>
      <c r="I5">
        <v>0</v>
      </c>
      <c r="J5">
        <v>0</v>
      </c>
      <c r="K5">
        <v>0</v>
      </c>
      <c r="L5">
        <v>0</v>
      </c>
      <c r="M5">
        <v>0</v>
      </c>
      <c r="N5">
        <v>39</v>
      </c>
      <c r="O5">
        <v>33</v>
      </c>
      <c r="P5">
        <v>4</v>
      </c>
      <c r="Q5">
        <v>4</v>
      </c>
      <c r="R5">
        <v>1</v>
      </c>
      <c r="S5">
        <v>0</v>
      </c>
      <c r="T5">
        <v>3</v>
      </c>
      <c r="U5">
        <v>0</v>
      </c>
      <c r="V5">
        <v>25</v>
      </c>
      <c r="W5">
        <v>12</v>
      </c>
      <c r="X5">
        <v>0</v>
      </c>
      <c r="Y5">
        <v>0</v>
      </c>
      <c r="Z5">
        <v>3</v>
      </c>
      <c r="AA5">
        <v>12</v>
      </c>
      <c r="AB5">
        <v>6</v>
      </c>
      <c r="AC5">
        <v>11</v>
      </c>
      <c r="AD5">
        <v>3</v>
      </c>
      <c r="AE5">
        <v>0</v>
      </c>
      <c r="AF5">
        <v>0</v>
      </c>
      <c r="AG5">
        <v>14</v>
      </c>
      <c r="AH5">
        <v>10</v>
      </c>
      <c r="AI5">
        <v>0</v>
      </c>
      <c r="AJ5">
        <v>0</v>
      </c>
      <c r="AK5">
        <v>1</v>
      </c>
      <c r="AL5">
        <v>0</v>
      </c>
      <c r="AM5">
        <v>1</v>
      </c>
      <c r="AN5">
        <v>1</v>
      </c>
      <c r="AO5">
        <v>3</v>
      </c>
      <c r="AP5">
        <v>12</v>
      </c>
      <c r="AQ5">
        <v>6</v>
      </c>
      <c r="AR5">
        <v>11</v>
      </c>
      <c r="AS5">
        <v>3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3</v>
      </c>
      <c r="BD5">
        <v>1</v>
      </c>
      <c r="BE5">
        <v>0</v>
      </c>
      <c r="BF5">
        <v>3</v>
      </c>
      <c r="BG5">
        <v>0</v>
      </c>
      <c r="BH5">
        <v>10</v>
      </c>
      <c r="BI5">
        <v>2</v>
      </c>
      <c r="BJ5">
        <v>0</v>
      </c>
      <c r="BK5">
        <v>0</v>
      </c>
      <c r="BL5">
        <v>2</v>
      </c>
      <c r="BM5">
        <v>1</v>
      </c>
      <c r="BN5">
        <v>39</v>
      </c>
      <c r="BO5">
        <v>33</v>
      </c>
      <c r="BP5">
        <v>4</v>
      </c>
      <c r="BQ5">
        <v>4</v>
      </c>
      <c r="BR5">
        <v>0</v>
      </c>
      <c r="BS5">
        <v>0</v>
      </c>
      <c r="BT5">
        <v>1</v>
      </c>
      <c r="BU5">
        <v>0</v>
      </c>
      <c r="BV5">
        <v>0</v>
      </c>
      <c r="BW5">
        <v>0.5</v>
      </c>
      <c r="BX5">
        <v>0</v>
      </c>
      <c r="BY5">
        <v>4</v>
      </c>
      <c r="BZ5">
        <v>3</v>
      </c>
      <c r="CA5">
        <v>2</v>
      </c>
      <c r="CB5">
        <v>1</v>
      </c>
      <c r="CC5">
        <v>27</v>
      </c>
      <c r="CD5">
        <v>13</v>
      </c>
      <c r="CE5">
        <v>10</v>
      </c>
      <c r="CF5">
        <v>8</v>
      </c>
      <c r="CG5">
        <v>7</v>
      </c>
    </row>
    <row r="6" spans="1:92" x14ac:dyDescent="0.15">
      <c r="A6" t="s">
        <v>86</v>
      </c>
      <c r="B6" t="s">
        <v>88</v>
      </c>
      <c r="C6" t="s">
        <v>32</v>
      </c>
      <c r="D6" t="s">
        <v>43</v>
      </c>
      <c r="E6" t="s">
        <v>221</v>
      </c>
      <c r="F6">
        <v>70</v>
      </c>
      <c r="G6">
        <v>35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19</v>
      </c>
      <c r="O6">
        <v>15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10</v>
      </c>
      <c r="W6">
        <v>6</v>
      </c>
      <c r="X6">
        <v>2</v>
      </c>
      <c r="Y6">
        <v>2</v>
      </c>
      <c r="Z6">
        <v>0</v>
      </c>
      <c r="AA6">
        <v>3</v>
      </c>
      <c r="AB6">
        <v>1</v>
      </c>
      <c r="AC6">
        <v>2</v>
      </c>
      <c r="AD6">
        <v>1</v>
      </c>
      <c r="AE6">
        <v>0</v>
      </c>
      <c r="AF6">
        <v>0</v>
      </c>
      <c r="AG6">
        <v>4</v>
      </c>
      <c r="AH6">
        <v>3</v>
      </c>
      <c r="AI6">
        <v>2</v>
      </c>
      <c r="AJ6">
        <v>2</v>
      </c>
      <c r="AK6">
        <v>3</v>
      </c>
      <c r="AL6">
        <v>0</v>
      </c>
      <c r="AM6">
        <v>0</v>
      </c>
      <c r="AN6">
        <v>0</v>
      </c>
      <c r="AO6">
        <v>0</v>
      </c>
      <c r="AP6">
        <v>3</v>
      </c>
      <c r="AQ6">
        <v>1</v>
      </c>
      <c r="AR6">
        <v>2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1</v>
      </c>
      <c r="BJ6">
        <v>0</v>
      </c>
      <c r="BK6">
        <v>1</v>
      </c>
      <c r="BL6">
        <v>0</v>
      </c>
      <c r="BM6">
        <v>1</v>
      </c>
      <c r="BN6">
        <v>19</v>
      </c>
      <c r="BO6">
        <v>15</v>
      </c>
      <c r="BP6">
        <v>1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4</v>
      </c>
      <c r="BZ6">
        <v>3</v>
      </c>
      <c r="CA6">
        <v>0</v>
      </c>
      <c r="CB6">
        <v>0</v>
      </c>
      <c r="CC6">
        <v>16</v>
      </c>
      <c r="CD6">
        <v>6</v>
      </c>
      <c r="CE6">
        <v>4</v>
      </c>
      <c r="CF6">
        <v>3</v>
      </c>
      <c r="CG6">
        <v>3</v>
      </c>
    </row>
    <row r="7" spans="1:92" x14ac:dyDescent="0.15">
      <c r="A7" t="s">
        <v>29</v>
      </c>
      <c r="B7" t="s">
        <v>31</v>
      </c>
      <c r="C7" t="s">
        <v>32</v>
      </c>
      <c r="D7" t="s">
        <v>47</v>
      </c>
      <c r="E7" t="s">
        <v>237</v>
      </c>
      <c r="F7">
        <v>95</v>
      </c>
      <c r="G7">
        <v>63</v>
      </c>
      <c r="H7">
        <v>31</v>
      </c>
      <c r="I7">
        <v>0</v>
      </c>
      <c r="J7">
        <v>0</v>
      </c>
      <c r="K7">
        <v>1</v>
      </c>
      <c r="L7">
        <v>0</v>
      </c>
      <c r="M7">
        <v>0.1</v>
      </c>
      <c r="N7">
        <v>29</v>
      </c>
      <c r="O7">
        <v>16</v>
      </c>
      <c r="P7">
        <v>3</v>
      </c>
      <c r="Q7">
        <v>1</v>
      </c>
      <c r="R7">
        <v>7</v>
      </c>
      <c r="S7">
        <v>1</v>
      </c>
      <c r="T7">
        <v>10</v>
      </c>
      <c r="U7">
        <v>6</v>
      </c>
      <c r="V7">
        <v>24</v>
      </c>
      <c r="W7">
        <v>13</v>
      </c>
      <c r="X7">
        <v>1</v>
      </c>
      <c r="Y7">
        <v>0</v>
      </c>
      <c r="Z7">
        <v>0</v>
      </c>
      <c r="AA7">
        <v>11</v>
      </c>
      <c r="AB7">
        <v>1</v>
      </c>
      <c r="AC7">
        <v>2</v>
      </c>
      <c r="AD7">
        <v>2</v>
      </c>
      <c r="AE7">
        <v>0</v>
      </c>
      <c r="AF7">
        <v>0</v>
      </c>
      <c r="AG7">
        <v>3</v>
      </c>
      <c r="AH7">
        <v>2</v>
      </c>
      <c r="AI7">
        <v>1</v>
      </c>
      <c r="AJ7">
        <v>0</v>
      </c>
      <c r="AK7">
        <v>5</v>
      </c>
      <c r="AL7">
        <v>2</v>
      </c>
      <c r="AM7">
        <v>1</v>
      </c>
      <c r="AN7">
        <v>1</v>
      </c>
      <c r="AO7">
        <v>0</v>
      </c>
      <c r="AP7">
        <v>11</v>
      </c>
      <c r="AQ7">
        <v>1</v>
      </c>
      <c r="AR7">
        <v>2</v>
      </c>
      <c r="AS7">
        <v>2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</v>
      </c>
      <c r="BC7">
        <v>2</v>
      </c>
      <c r="BD7">
        <v>7</v>
      </c>
      <c r="BE7">
        <v>1</v>
      </c>
      <c r="BF7">
        <v>10</v>
      </c>
      <c r="BG7">
        <v>6</v>
      </c>
      <c r="BH7">
        <v>15</v>
      </c>
      <c r="BI7">
        <v>9</v>
      </c>
      <c r="BJ7">
        <v>5</v>
      </c>
      <c r="BK7">
        <v>0</v>
      </c>
      <c r="BL7">
        <v>2</v>
      </c>
      <c r="BM7">
        <v>4</v>
      </c>
      <c r="BN7">
        <v>29</v>
      </c>
      <c r="BO7">
        <v>16</v>
      </c>
      <c r="BP7">
        <v>3</v>
      </c>
      <c r="BQ7">
        <v>1</v>
      </c>
      <c r="BR7">
        <v>1</v>
      </c>
      <c r="BS7">
        <v>0</v>
      </c>
      <c r="BT7">
        <v>7</v>
      </c>
      <c r="BU7">
        <v>1</v>
      </c>
      <c r="BV7">
        <v>0</v>
      </c>
      <c r="BW7">
        <v>0.14000000000000001</v>
      </c>
      <c r="BX7">
        <v>0</v>
      </c>
      <c r="BY7">
        <v>3</v>
      </c>
      <c r="BZ7">
        <v>1</v>
      </c>
      <c r="CA7">
        <v>7</v>
      </c>
      <c r="CB7">
        <v>2</v>
      </c>
      <c r="CC7">
        <v>23</v>
      </c>
      <c r="CD7">
        <v>11</v>
      </c>
      <c r="CE7">
        <v>5</v>
      </c>
      <c r="CF7">
        <v>3</v>
      </c>
      <c r="CG7">
        <v>3</v>
      </c>
    </row>
    <row r="8" spans="1:92" x14ac:dyDescent="0.15">
      <c r="A8" t="s">
        <v>42</v>
      </c>
      <c r="B8" t="s">
        <v>44</v>
      </c>
      <c r="C8" t="s">
        <v>32</v>
      </c>
      <c r="D8" t="s">
        <v>59</v>
      </c>
      <c r="E8" t="s">
        <v>221</v>
      </c>
      <c r="F8">
        <v>84</v>
      </c>
      <c r="G8">
        <v>69</v>
      </c>
      <c r="H8">
        <v>42</v>
      </c>
      <c r="I8">
        <v>0</v>
      </c>
      <c r="J8">
        <v>0</v>
      </c>
      <c r="K8">
        <v>0</v>
      </c>
      <c r="L8">
        <v>0</v>
      </c>
      <c r="M8">
        <v>0</v>
      </c>
      <c r="N8">
        <v>40</v>
      </c>
      <c r="O8">
        <v>32</v>
      </c>
      <c r="P8">
        <v>5</v>
      </c>
      <c r="Q8">
        <v>1</v>
      </c>
      <c r="R8">
        <v>2</v>
      </c>
      <c r="S8">
        <v>0</v>
      </c>
      <c r="T8">
        <v>5</v>
      </c>
      <c r="U8">
        <v>1</v>
      </c>
      <c r="V8">
        <v>22</v>
      </c>
      <c r="W8">
        <v>9</v>
      </c>
      <c r="X8">
        <v>4</v>
      </c>
      <c r="Y8">
        <v>2</v>
      </c>
      <c r="Z8">
        <v>3</v>
      </c>
      <c r="AA8">
        <v>13</v>
      </c>
      <c r="AB8">
        <v>5</v>
      </c>
      <c r="AC8">
        <v>8</v>
      </c>
      <c r="AD8">
        <v>5</v>
      </c>
      <c r="AE8">
        <v>79</v>
      </c>
      <c r="AF8">
        <v>0</v>
      </c>
      <c r="AG8">
        <v>6</v>
      </c>
      <c r="AH8">
        <v>4</v>
      </c>
      <c r="AI8">
        <v>4</v>
      </c>
      <c r="AJ8">
        <v>2</v>
      </c>
      <c r="AK8">
        <v>1</v>
      </c>
      <c r="AL8">
        <v>0</v>
      </c>
      <c r="AM8">
        <v>0</v>
      </c>
      <c r="AN8">
        <v>0</v>
      </c>
      <c r="AO8">
        <v>3</v>
      </c>
      <c r="AP8">
        <v>13</v>
      </c>
      <c r="AQ8">
        <v>5</v>
      </c>
      <c r="AR8">
        <v>8</v>
      </c>
      <c r="AS8">
        <v>5</v>
      </c>
      <c r="AT8">
        <v>0</v>
      </c>
      <c r="AU8">
        <v>1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5</v>
      </c>
      <c r="BG8">
        <v>1</v>
      </c>
      <c r="BH8">
        <v>11</v>
      </c>
      <c r="BI8">
        <v>3</v>
      </c>
      <c r="BJ8">
        <v>0</v>
      </c>
      <c r="BK8">
        <v>0</v>
      </c>
      <c r="BL8">
        <v>4</v>
      </c>
      <c r="BM8">
        <v>3</v>
      </c>
      <c r="BN8">
        <v>40</v>
      </c>
      <c r="BO8">
        <v>32</v>
      </c>
      <c r="BP8">
        <v>5</v>
      </c>
      <c r="BQ8">
        <v>1</v>
      </c>
      <c r="BR8">
        <v>1</v>
      </c>
      <c r="BS8">
        <v>1</v>
      </c>
      <c r="BT8">
        <v>2</v>
      </c>
      <c r="BU8">
        <v>0</v>
      </c>
      <c r="BV8">
        <v>0</v>
      </c>
      <c r="BW8">
        <v>0</v>
      </c>
      <c r="BX8">
        <v>0</v>
      </c>
      <c r="BY8">
        <v>5</v>
      </c>
      <c r="BZ8">
        <v>2</v>
      </c>
      <c r="CA8">
        <v>1</v>
      </c>
      <c r="CB8">
        <v>1</v>
      </c>
      <c r="CC8">
        <v>26</v>
      </c>
      <c r="CD8">
        <v>9</v>
      </c>
      <c r="CE8">
        <v>7</v>
      </c>
      <c r="CF8">
        <v>8</v>
      </c>
      <c r="CG8">
        <v>8</v>
      </c>
    </row>
    <row r="9" spans="1:92" x14ac:dyDescent="0.15">
      <c r="A9" t="s">
        <v>46</v>
      </c>
      <c r="B9" t="s">
        <v>48</v>
      </c>
      <c r="C9" t="s">
        <v>32</v>
      </c>
      <c r="D9" t="s">
        <v>65</v>
      </c>
      <c r="E9" t="s">
        <v>230</v>
      </c>
      <c r="F9">
        <v>89</v>
      </c>
      <c r="G9">
        <v>39</v>
      </c>
      <c r="H9">
        <v>24</v>
      </c>
      <c r="I9">
        <v>0</v>
      </c>
      <c r="J9">
        <v>0</v>
      </c>
      <c r="K9">
        <v>0</v>
      </c>
      <c r="L9">
        <v>0</v>
      </c>
      <c r="M9">
        <v>0</v>
      </c>
      <c r="N9">
        <v>21</v>
      </c>
      <c r="O9">
        <v>15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13</v>
      </c>
      <c r="W9">
        <v>7</v>
      </c>
      <c r="X9">
        <v>2</v>
      </c>
      <c r="Y9">
        <v>1</v>
      </c>
      <c r="Z9">
        <v>2</v>
      </c>
      <c r="AA9">
        <v>8</v>
      </c>
      <c r="AB9">
        <v>3</v>
      </c>
      <c r="AC9">
        <v>4</v>
      </c>
      <c r="AD9">
        <v>2</v>
      </c>
      <c r="AE9">
        <v>0</v>
      </c>
      <c r="AF9">
        <v>0</v>
      </c>
      <c r="AG9">
        <v>5</v>
      </c>
      <c r="AH9">
        <v>3</v>
      </c>
      <c r="AI9">
        <v>2</v>
      </c>
      <c r="AJ9">
        <v>1</v>
      </c>
      <c r="AK9">
        <v>3</v>
      </c>
      <c r="AL9">
        <v>2</v>
      </c>
      <c r="AM9">
        <v>0</v>
      </c>
      <c r="AN9">
        <v>0</v>
      </c>
      <c r="AO9">
        <v>2</v>
      </c>
      <c r="AP9">
        <v>8</v>
      </c>
      <c r="AQ9">
        <v>3</v>
      </c>
      <c r="AR9">
        <v>4</v>
      </c>
      <c r="AS9">
        <v>2</v>
      </c>
      <c r="AT9">
        <v>2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0</v>
      </c>
      <c r="BG9">
        <v>0</v>
      </c>
      <c r="BH9">
        <v>3</v>
      </c>
      <c r="BI9">
        <v>1</v>
      </c>
      <c r="BJ9">
        <v>0</v>
      </c>
      <c r="BK9">
        <v>0</v>
      </c>
      <c r="BL9">
        <v>2</v>
      </c>
      <c r="BM9">
        <v>1</v>
      </c>
      <c r="BN9">
        <v>21</v>
      </c>
      <c r="BO9">
        <v>15</v>
      </c>
      <c r="BP9">
        <v>2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0.13</v>
      </c>
      <c r="BX9">
        <v>1</v>
      </c>
      <c r="BY9">
        <v>4</v>
      </c>
      <c r="BZ9">
        <v>2</v>
      </c>
      <c r="CA9">
        <v>0</v>
      </c>
      <c r="CB9">
        <v>0</v>
      </c>
      <c r="CC9">
        <v>15</v>
      </c>
      <c r="CD9">
        <v>5</v>
      </c>
      <c r="CE9">
        <v>2</v>
      </c>
      <c r="CF9">
        <v>4</v>
      </c>
      <c r="CG9">
        <v>4</v>
      </c>
    </row>
    <row r="10" spans="1:92" x14ac:dyDescent="0.15">
      <c r="A10" t="s">
        <v>52</v>
      </c>
      <c r="B10" t="s">
        <v>54</v>
      </c>
      <c r="C10" t="s">
        <v>32</v>
      </c>
      <c r="D10" t="s">
        <v>70</v>
      </c>
      <c r="E10" t="s">
        <v>238</v>
      </c>
      <c r="F10">
        <v>100</v>
      </c>
      <c r="G10">
        <v>53</v>
      </c>
      <c r="H10">
        <v>28</v>
      </c>
      <c r="I10">
        <v>1</v>
      </c>
      <c r="J10">
        <v>1</v>
      </c>
      <c r="K10">
        <v>2</v>
      </c>
      <c r="L10">
        <v>1</v>
      </c>
      <c r="M10">
        <v>0.11</v>
      </c>
      <c r="N10">
        <v>22</v>
      </c>
      <c r="O10">
        <v>15</v>
      </c>
      <c r="P10">
        <v>1</v>
      </c>
      <c r="Q10">
        <v>0</v>
      </c>
      <c r="R10">
        <v>3</v>
      </c>
      <c r="S10">
        <v>0</v>
      </c>
      <c r="T10">
        <v>8</v>
      </c>
      <c r="U10">
        <v>4</v>
      </c>
      <c r="V10">
        <v>21</v>
      </c>
      <c r="W10">
        <v>8</v>
      </c>
      <c r="X10">
        <v>1</v>
      </c>
      <c r="Y10">
        <v>0</v>
      </c>
      <c r="Z10">
        <v>1</v>
      </c>
      <c r="AA10">
        <v>14</v>
      </c>
      <c r="AB10">
        <v>3</v>
      </c>
      <c r="AC10">
        <v>2</v>
      </c>
      <c r="AD10">
        <v>1</v>
      </c>
      <c r="AE10">
        <v>0</v>
      </c>
      <c r="AF10">
        <v>0</v>
      </c>
      <c r="AG10">
        <v>4</v>
      </c>
      <c r="AH10">
        <v>2</v>
      </c>
      <c r="AI10">
        <v>1</v>
      </c>
      <c r="AJ10">
        <v>0</v>
      </c>
      <c r="AK10">
        <v>2</v>
      </c>
      <c r="AL10">
        <v>0</v>
      </c>
      <c r="AM10">
        <v>0</v>
      </c>
      <c r="AN10">
        <v>0</v>
      </c>
      <c r="AO10">
        <v>1</v>
      </c>
      <c r="AP10">
        <v>14</v>
      </c>
      <c r="AQ10">
        <v>3</v>
      </c>
      <c r="AR10">
        <v>2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1</v>
      </c>
      <c r="AZ10">
        <v>2</v>
      </c>
      <c r="BA10">
        <v>1</v>
      </c>
      <c r="BB10">
        <v>0.11</v>
      </c>
      <c r="BC10">
        <v>2</v>
      </c>
      <c r="BD10">
        <v>3</v>
      </c>
      <c r="BE10">
        <v>0</v>
      </c>
      <c r="BF10">
        <v>8</v>
      </c>
      <c r="BG10">
        <v>4</v>
      </c>
      <c r="BH10">
        <v>14</v>
      </c>
      <c r="BI10">
        <v>6</v>
      </c>
      <c r="BJ10">
        <v>1</v>
      </c>
      <c r="BK10">
        <v>1</v>
      </c>
      <c r="BL10">
        <v>1</v>
      </c>
      <c r="BM10">
        <v>2</v>
      </c>
      <c r="BN10">
        <v>22</v>
      </c>
      <c r="BO10">
        <v>15</v>
      </c>
      <c r="BP10">
        <v>1</v>
      </c>
      <c r="BQ10">
        <v>0</v>
      </c>
      <c r="BR10">
        <v>1</v>
      </c>
      <c r="BS10">
        <v>0</v>
      </c>
      <c r="BT10">
        <v>3</v>
      </c>
      <c r="BU10">
        <v>0</v>
      </c>
      <c r="BV10">
        <v>1</v>
      </c>
      <c r="BW10">
        <v>0.11</v>
      </c>
      <c r="BX10">
        <v>0</v>
      </c>
      <c r="BY10">
        <v>0</v>
      </c>
      <c r="BZ10">
        <v>0</v>
      </c>
      <c r="CA10">
        <v>4</v>
      </c>
      <c r="CB10">
        <v>0</v>
      </c>
      <c r="CC10">
        <v>15</v>
      </c>
      <c r="CD10">
        <v>8</v>
      </c>
      <c r="CE10">
        <v>5</v>
      </c>
      <c r="CF10">
        <v>6</v>
      </c>
      <c r="CG10">
        <v>5</v>
      </c>
    </row>
    <row r="11" spans="1:92" x14ac:dyDescent="0.15">
      <c r="A11" t="s">
        <v>58</v>
      </c>
      <c r="B11" t="s">
        <v>60</v>
      </c>
      <c r="C11" t="s">
        <v>32</v>
      </c>
      <c r="D11" t="s">
        <v>74</v>
      </c>
      <c r="E11" t="s">
        <v>239</v>
      </c>
      <c r="F11">
        <v>101</v>
      </c>
      <c r="G11">
        <v>63</v>
      </c>
      <c r="H11">
        <v>33</v>
      </c>
      <c r="I11">
        <v>0</v>
      </c>
      <c r="J11">
        <v>2</v>
      </c>
      <c r="K11">
        <v>2</v>
      </c>
      <c r="L11">
        <v>0</v>
      </c>
      <c r="M11">
        <v>0.04</v>
      </c>
      <c r="N11">
        <v>32</v>
      </c>
      <c r="O11">
        <v>20</v>
      </c>
      <c r="P11">
        <v>2</v>
      </c>
      <c r="Q11">
        <v>0</v>
      </c>
      <c r="R11">
        <v>7</v>
      </c>
      <c r="S11">
        <v>2</v>
      </c>
      <c r="T11">
        <v>10</v>
      </c>
      <c r="U11">
        <v>7</v>
      </c>
      <c r="V11">
        <v>21</v>
      </c>
      <c r="W11">
        <v>13</v>
      </c>
      <c r="X11">
        <v>2</v>
      </c>
      <c r="Y11">
        <v>1</v>
      </c>
      <c r="Z11">
        <v>4</v>
      </c>
      <c r="AA11">
        <v>17</v>
      </c>
      <c r="AB11">
        <v>4</v>
      </c>
      <c r="AC11">
        <v>4</v>
      </c>
      <c r="AD11">
        <v>2</v>
      </c>
      <c r="AE11">
        <v>0</v>
      </c>
      <c r="AF11">
        <v>0</v>
      </c>
      <c r="AG11">
        <v>2</v>
      </c>
      <c r="AH11">
        <v>2</v>
      </c>
      <c r="AI11">
        <v>2</v>
      </c>
      <c r="AJ11">
        <v>1</v>
      </c>
      <c r="AK11">
        <v>3</v>
      </c>
      <c r="AL11">
        <v>2</v>
      </c>
      <c r="AM11">
        <v>1</v>
      </c>
      <c r="AN11">
        <v>1</v>
      </c>
      <c r="AO11">
        <v>4</v>
      </c>
      <c r="AP11">
        <v>17</v>
      </c>
      <c r="AQ11">
        <v>4</v>
      </c>
      <c r="AR11">
        <v>4</v>
      </c>
      <c r="AS11">
        <v>2</v>
      </c>
      <c r="AT11">
        <v>2</v>
      </c>
      <c r="AU11">
        <v>0</v>
      </c>
      <c r="AV11">
        <v>0</v>
      </c>
      <c r="AW11">
        <v>0</v>
      </c>
      <c r="AX11">
        <v>0</v>
      </c>
      <c r="AY11">
        <v>2</v>
      </c>
      <c r="AZ11">
        <v>2</v>
      </c>
      <c r="BA11">
        <v>0</v>
      </c>
      <c r="BB11">
        <v>0.04</v>
      </c>
      <c r="BC11">
        <v>2</v>
      </c>
      <c r="BD11">
        <v>7</v>
      </c>
      <c r="BE11">
        <v>2</v>
      </c>
      <c r="BF11">
        <v>10</v>
      </c>
      <c r="BG11">
        <v>7</v>
      </c>
      <c r="BH11">
        <v>14</v>
      </c>
      <c r="BI11">
        <v>8</v>
      </c>
      <c r="BJ11">
        <v>5</v>
      </c>
      <c r="BK11">
        <v>1</v>
      </c>
      <c r="BL11">
        <v>4</v>
      </c>
      <c r="BM11">
        <v>4</v>
      </c>
      <c r="BN11">
        <v>32</v>
      </c>
      <c r="BO11">
        <v>20</v>
      </c>
      <c r="BP11">
        <v>2</v>
      </c>
      <c r="BQ11">
        <v>0</v>
      </c>
      <c r="BR11">
        <v>0</v>
      </c>
      <c r="BS11">
        <v>0</v>
      </c>
      <c r="BT11">
        <v>7</v>
      </c>
      <c r="BU11">
        <v>2</v>
      </c>
      <c r="BV11">
        <v>2</v>
      </c>
      <c r="BW11">
        <v>0.42</v>
      </c>
      <c r="BX11">
        <v>0</v>
      </c>
      <c r="BY11">
        <v>5</v>
      </c>
      <c r="BZ11">
        <v>2</v>
      </c>
      <c r="CA11">
        <v>6</v>
      </c>
      <c r="CB11">
        <v>2</v>
      </c>
      <c r="CC11">
        <v>19</v>
      </c>
      <c r="CD11">
        <v>9</v>
      </c>
      <c r="CE11">
        <v>4</v>
      </c>
      <c r="CF11">
        <v>3</v>
      </c>
      <c r="CG11">
        <v>3</v>
      </c>
    </row>
    <row r="12" spans="1:92" x14ac:dyDescent="0.15">
      <c r="A12" t="s">
        <v>64</v>
      </c>
      <c r="B12" t="s">
        <v>66</v>
      </c>
      <c r="C12" t="s">
        <v>32</v>
      </c>
      <c r="D12" t="s">
        <v>78</v>
      </c>
      <c r="E12" t="s">
        <v>238</v>
      </c>
      <c r="F12">
        <v>85</v>
      </c>
      <c r="G12">
        <v>45</v>
      </c>
      <c r="H12">
        <v>20</v>
      </c>
      <c r="I12">
        <v>0</v>
      </c>
      <c r="J12">
        <v>0</v>
      </c>
      <c r="K12">
        <v>3</v>
      </c>
      <c r="L12">
        <v>2</v>
      </c>
      <c r="M12">
        <v>0.13</v>
      </c>
      <c r="N12">
        <v>16</v>
      </c>
      <c r="O12">
        <v>11</v>
      </c>
      <c r="P12">
        <v>1</v>
      </c>
      <c r="Q12">
        <v>0</v>
      </c>
      <c r="R12">
        <v>0</v>
      </c>
      <c r="S12">
        <v>0</v>
      </c>
      <c r="T12">
        <v>3</v>
      </c>
      <c r="U12">
        <v>3</v>
      </c>
      <c r="V12">
        <v>19</v>
      </c>
      <c r="W12">
        <v>6</v>
      </c>
      <c r="X12">
        <v>3</v>
      </c>
      <c r="Y12">
        <v>0</v>
      </c>
      <c r="Z12">
        <v>2</v>
      </c>
      <c r="AA12">
        <v>12</v>
      </c>
      <c r="AB12">
        <v>4</v>
      </c>
      <c r="AC12">
        <v>4</v>
      </c>
      <c r="AD12">
        <v>2</v>
      </c>
      <c r="AE12">
        <v>0</v>
      </c>
      <c r="AF12">
        <v>0</v>
      </c>
      <c r="AG12">
        <v>5</v>
      </c>
      <c r="AH12">
        <v>2</v>
      </c>
      <c r="AI12">
        <v>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12</v>
      </c>
      <c r="AQ12">
        <v>4</v>
      </c>
      <c r="AR12">
        <v>4</v>
      </c>
      <c r="AS12">
        <v>2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3</v>
      </c>
      <c r="BA12">
        <v>2</v>
      </c>
      <c r="BB12">
        <v>0.13</v>
      </c>
      <c r="BC12">
        <v>0</v>
      </c>
      <c r="BD12">
        <v>0</v>
      </c>
      <c r="BE12">
        <v>0</v>
      </c>
      <c r="BF12">
        <v>3</v>
      </c>
      <c r="BG12">
        <v>3</v>
      </c>
      <c r="BH12">
        <v>11</v>
      </c>
      <c r="BI12">
        <v>4</v>
      </c>
      <c r="BJ12">
        <v>2</v>
      </c>
      <c r="BK12">
        <v>0</v>
      </c>
      <c r="BL12">
        <v>1</v>
      </c>
      <c r="BM12">
        <v>0</v>
      </c>
      <c r="BN12">
        <v>16</v>
      </c>
      <c r="BO12">
        <v>11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3</v>
      </c>
      <c r="BZ12">
        <v>1</v>
      </c>
      <c r="CA12">
        <v>0</v>
      </c>
      <c r="CB12">
        <v>0</v>
      </c>
      <c r="CC12">
        <v>10</v>
      </c>
      <c r="CD12">
        <v>7</v>
      </c>
      <c r="CE12">
        <v>3</v>
      </c>
      <c r="CF12">
        <v>4</v>
      </c>
      <c r="CG12">
        <v>4</v>
      </c>
    </row>
    <row r="13" spans="1:92" x14ac:dyDescent="0.15">
      <c r="A13" t="s">
        <v>69</v>
      </c>
      <c r="B13" t="s">
        <v>71</v>
      </c>
      <c r="C13" t="s">
        <v>32</v>
      </c>
      <c r="D13" t="s">
        <v>81</v>
      </c>
      <c r="E13" t="s">
        <v>232</v>
      </c>
      <c r="F13">
        <v>70</v>
      </c>
      <c r="G13">
        <v>57</v>
      </c>
      <c r="H13">
        <v>36</v>
      </c>
      <c r="I13">
        <v>0</v>
      </c>
      <c r="J13">
        <v>0</v>
      </c>
      <c r="K13">
        <v>1</v>
      </c>
      <c r="L13">
        <v>1</v>
      </c>
      <c r="M13">
        <v>0.05</v>
      </c>
      <c r="N13">
        <v>30</v>
      </c>
      <c r="O13">
        <v>27</v>
      </c>
      <c r="P13">
        <v>1</v>
      </c>
      <c r="Q13">
        <v>0</v>
      </c>
      <c r="R13">
        <v>0</v>
      </c>
      <c r="S13">
        <v>0</v>
      </c>
      <c r="T13">
        <v>3</v>
      </c>
      <c r="U13">
        <v>0</v>
      </c>
      <c r="V13">
        <v>20</v>
      </c>
      <c r="W13">
        <v>7</v>
      </c>
      <c r="X13">
        <v>2</v>
      </c>
      <c r="Y13">
        <v>1</v>
      </c>
      <c r="Z13">
        <v>2</v>
      </c>
      <c r="AA13">
        <v>7</v>
      </c>
      <c r="AB13">
        <v>3</v>
      </c>
      <c r="AC13">
        <v>6</v>
      </c>
      <c r="AD13">
        <v>5</v>
      </c>
      <c r="AE13">
        <v>56</v>
      </c>
      <c r="AF13">
        <v>0</v>
      </c>
      <c r="AG13">
        <v>9</v>
      </c>
      <c r="AH13">
        <v>5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2</v>
      </c>
      <c r="AP13">
        <v>7</v>
      </c>
      <c r="AQ13">
        <v>3</v>
      </c>
      <c r="AR13">
        <v>6</v>
      </c>
      <c r="AS13">
        <v>5</v>
      </c>
      <c r="AT13">
        <v>0</v>
      </c>
      <c r="AU13">
        <v>2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0.05</v>
      </c>
      <c r="BC13">
        <v>0</v>
      </c>
      <c r="BD13">
        <v>0</v>
      </c>
      <c r="BE13">
        <v>0</v>
      </c>
      <c r="BF13">
        <v>3</v>
      </c>
      <c r="BG13">
        <v>0</v>
      </c>
      <c r="BH13">
        <v>9</v>
      </c>
      <c r="BI13">
        <v>1</v>
      </c>
      <c r="BJ13">
        <v>1</v>
      </c>
      <c r="BK13">
        <v>0</v>
      </c>
      <c r="BL13">
        <v>1</v>
      </c>
      <c r="BM13">
        <v>1</v>
      </c>
      <c r="BN13">
        <v>30</v>
      </c>
      <c r="BO13">
        <v>27</v>
      </c>
      <c r="BP13">
        <v>1</v>
      </c>
      <c r="BQ13">
        <v>0</v>
      </c>
      <c r="BR13">
        <v>1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1</v>
      </c>
      <c r="CC13">
        <v>24</v>
      </c>
      <c r="CD13">
        <v>8</v>
      </c>
      <c r="CE13">
        <v>6</v>
      </c>
      <c r="CF13">
        <v>5</v>
      </c>
      <c r="CG13">
        <v>5</v>
      </c>
    </row>
    <row r="14" spans="1:92" x14ac:dyDescent="0.15">
      <c r="A14" t="s">
        <v>73</v>
      </c>
      <c r="B14" t="s">
        <v>75</v>
      </c>
      <c r="C14" t="s">
        <v>32</v>
      </c>
      <c r="D14" t="s">
        <v>87</v>
      </c>
      <c r="E14" t="s">
        <v>221</v>
      </c>
      <c r="F14">
        <v>94</v>
      </c>
      <c r="G14">
        <v>80</v>
      </c>
      <c r="H14">
        <v>58</v>
      </c>
      <c r="I14">
        <v>0</v>
      </c>
      <c r="J14">
        <v>0</v>
      </c>
      <c r="K14">
        <v>0</v>
      </c>
      <c r="L14">
        <v>0</v>
      </c>
      <c r="M14">
        <v>0</v>
      </c>
      <c r="N14">
        <v>49</v>
      </c>
      <c r="O14">
        <v>41</v>
      </c>
      <c r="P14">
        <v>4</v>
      </c>
      <c r="Q14">
        <v>1</v>
      </c>
      <c r="R14">
        <v>1</v>
      </c>
      <c r="S14">
        <v>0</v>
      </c>
      <c r="T14">
        <v>2</v>
      </c>
      <c r="U14">
        <v>1</v>
      </c>
      <c r="V14">
        <v>17</v>
      </c>
      <c r="W14">
        <v>14</v>
      </c>
      <c r="X14">
        <v>0</v>
      </c>
      <c r="Y14">
        <v>0</v>
      </c>
      <c r="Z14">
        <v>5</v>
      </c>
      <c r="AA14">
        <v>12</v>
      </c>
      <c r="AB14">
        <v>5</v>
      </c>
      <c r="AC14">
        <v>11</v>
      </c>
      <c r="AD14">
        <v>6</v>
      </c>
      <c r="AE14">
        <v>0</v>
      </c>
      <c r="AF14">
        <v>0</v>
      </c>
      <c r="AG14">
        <v>10</v>
      </c>
      <c r="AH14">
        <v>9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5</v>
      </c>
      <c r="AP14">
        <v>12</v>
      </c>
      <c r="AQ14">
        <v>5</v>
      </c>
      <c r="AR14">
        <v>11</v>
      </c>
      <c r="AS14">
        <v>6</v>
      </c>
      <c r="AT14">
        <v>2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2</v>
      </c>
      <c r="BG14">
        <v>1</v>
      </c>
      <c r="BH14">
        <v>7</v>
      </c>
      <c r="BI14">
        <v>5</v>
      </c>
      <c r="BJ14">
        <v>1</v>
      </c>
      <c r="BK14">
        <v>0</v>
      </c>
      <c r="BL14">
        <v>1</v>
      </c>
      <c r="BM14">
        <v>4</v>
      </c>
      <c r="BN14">
        <v>49</v>
      </c>
      <c r="BO14">
        <v>41</v>
      </c>
      <c r="BP14">
        <v>4</v>
      </c>
      <c r="BQ14">
        <v>1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1</v>
      </c>
      <c r="BY14">
        <v>8</v>
      </c>
      <c r="BZ14">
        <v>5</v>
      </c>
      <c r="CA14">
        <v>2</v>
      </c>
      <c r="CB14">
        <v>0</v>
      </c>
      <c r="CC14">
        <v>35</v>
      </c>
      <c r="CD14">
        <v>10</v>
      </c>
      <c r="CE14">
        <v>7</v>
      </c>
      <c r="CF14">
        <v>7</v>
      </c>
      <c r="CG14">
        <v>7</v>
      </c>
    </row>
    <row r="15" spans="1:92" x14ac:dyDescent="0.15">
      <c r="A15" t="s">
        <v>103</v>
      </c>
      <c r="B15" t="s">
        <v>105</v>
      </c>
      <c r="C15" t="s">
        <v>106</v>
      </c>
      <c r="D15" t="s">
        <v>104</v>
      </c>
      <c r="E15" t="s">
        <v>221</v>
      </c>
      <c r="F15">
        <v>26</v>
      </c>
      <c r="G15">
        <v>19</v>
      </c>
      <c r="H15">
        <v>12</v>
      </c>
      <c r="I15">
        <v>2</v>
      </c>
      <c r="J15">
        <v>0</v>
      </c>
      <c r="K15">
        <v>2</v>
      </c>
      <c r="L15">
        <v>2</v>
      </c>
      <c r="M15">
        <v>0.3</v>
      </c>
      <c r="N15">
        <v>11</v>
      </c>
      <c r="O15">
        <v>8</v>
      </c>
      <c r="P15">
        <v>0</v>
      </c>
      <c r="Q15">
        <v>0</v>
      </c>
      <c r="R15">
        <v>1</v>
      </c>
      <c r="S15">
        <v>0</v>
      </c>
      <c r="T15">
        <v>2</v>
      </c>
      <c r="U15">
        <v>1</v>
      </c>
      <c r="V15">
        <v>3</v>
      </c>
      <c r="W15">
        <v>2</v>
      </c>
      <c r="X15">
        <v>0</v>
      </c>
      <c r="Y15">
        <v>0</v>
      </c>
      <c r="Z15">
        <v>2</v>
      </c>
      <c r="AA15">
        <v>4</v>
      </c>
      <c r="AB15">
        <v>1</v>
      </c>
      <c r="AC15">
        <v>3</v>
      </c>
      <c r="AD15">
        <v>2</v>
      </c>
      <c r="AE15">
        <v>0</v>
      </c>
      <c r="AF15">
        <v>0</v>
      </c>
      <c r="AG15">
        <v>1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2</v>
      </c>
      <c r="AP15">
        <v>4</v>
      </c>
      <c r="AQ15">
        <v>1</v>
      </c>
      <c r="AR15">
        <v>3</v>
      </c>
      <c r="AS15">
        <v>2</v>
      </c>
      <c r="AT15">
        <v>0</v>
      </c>
      <c r="AU15">
        <v>0</v>
      </c>
      <c r="AV15">
        <v>0</v>
      </c>
      <c r="AW15">
        <v>0</v>
      </c>
      <c r="AX15">
        <v>2</v>
      </c>
      <c r="AY15">
        <v>0</v>
      </c>
      <c r="AZ15">
        <v>2</v>
      </c>
      <c r="BA15">
        <v>2</v>
      </c>
      <c r="BB15">
        <v>0.3</v>
      </c>
      <c r="BC15">
        <v>0</v>
      </c>
      <c r="BD15">
        <v>1</v>
      </c>
      <c r="BE15">
        <v>0</v>
      </c>
      <c r="BF15">
        <v>2</v>
      </c>
      <c r="BG15">
        <v>1</v>
      </c>
      <c r="BH15">
        <v>2</v>
      </c>
      <c r="BI15">
        <v>1</v>
      </c>
      <c r="BJ15">
        <v>1</v>
      </c>
      <c r="BK15">
        <v>0</v>
      </c>
      <c r="BL15">
        <v>0</v>
      </c>
      <c r="BM15">
        <v>0</v>
      </c>
      <c r="BN15">
        <v>11</v>
      </c>
      <c r="BO15">
        <v>8</v>
      </c>
      <c r="BP15">
        <v>0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3</v>
      </c>
      <c r="BZ15">
        <v>2</v>
      </c>
      <c r="CA15">
        <v>0</v>
      </c>
      <c r="CB15">
        <v>0</v>
      </c>
      <c r="CC15">
        <v>10</v>
      </c>
      <c r="CD15">
        <v>2</v>
      </c>
      <c r="CE15">
        <v>1</v>
      </c>
      <c r="CF15">
        <v>4</v>
      </c>
      <c r="CG15">
        <v>4</v>
      </c>
    </row>
    <row r="16" spans="1:92" x14ac:dyDescent="0.15">
      <c r="A16" t="s">
        <v>214</v>
      </c>
      <c r="B16" t="s">
        <v>215</v>
      </c>
      <c r="C16" t="s">
        <v>106</v>
      </c>
      <c r="D16" t="s">
        <v>216</v>
      </c>
      <c r="E16" t="s">
        <v>230</v>
      </c>
      <c r="F16">
        <v>70</v>
      </c>
      <c r="G16">
        <v>30</v>
      </c>
      <c r="H16">
        <v>10</v>
      </c>
      <c r="I16">
        <v>0</v>
      </c>
      <c r="J16">
        <v>0</v>
      </c>
      <c r="K16">
        <v>1</v>
      </c>
      <c r="L16">
        <v>0</v>
      </c>
      <c r="M16">
        <v>0</v>
      </c>
      <c r="N16">
        <v>13</v>
      </c>
      <c r="O16">
        <v>9</v>
      </c>
      <c r="P16">
        <v>1</v>
      </c>
      <c r="Q16">
        <v>1</v>
      </c>
      <c r="R16">
        <v>1</v>
      </c>
      <c r="S16">
        <v>0</v>
      </c>
      <c r="T16">
        <v>1</v>
      </c>
      <c r="U16">
        <v>0</v>
      </c>
      <c r="V16">
        <v>11</v>
      </c>
      <c r="W16">
        <v>1</v>
      </c>
      <c r="X16">
        <v>0</v>
      </c>
      <c r="Y16">
        <v>0</v>
      </c>
      <c r="Z16">
        <v>0</v>
      </c>
      <c r="AA16">
        <v>2</v>
      </c>
      <c r="AB16">
        <v>0</v>
      </c>
      <c r="AC16">
        <v>7</v>
      </c>
      <c r="AD16">
        <v>2</v>
      </c>
      <c r="AE16">
        <v>0</v>
      </c>
      <c r="AF16">
        <v>0</v>
      </c>
      <c r="AG16">
        <v>7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7</v>
      </c>
      <c r="AS16">
        <v>2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1</v>
      </c>
      <c r="BE16">
        <v>0</v>
      </c>
      <c r="BF16">
        <v>1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0</v>
      </c>
      <c r="BN16">
        <v>13</v>
      </c>
      <c r="BO16">
        <v>9</v>
      </c>
      <c r="BP16">
        <v>1</v>
      </c>
      <c r="BQ16">
        <v>1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15</v>
      </c>
      <c r="CD16">
        <v>4</v>
      </c>
      <c r="CE16">
        <v>4</v>
      </c>
      <c r="CF16">
        <v>3</v>
      </c>
      <c r="CG16">
        <v>3</v>
      </c>
    </row>
  </sheetData>
  <mergeCells count="31">
    <mergeCell ref="CK1:CL1"/>
    <mergeCell ref="BR1:BS1"/>
    <mergeCell ref="CD1:CE1"/>
    <mergeCell ref="CF1:CG1"/>
    <mergeCell ref="V1:W1"/>
    <mergeCell ref="BY1:BZ1"/>
    <mergeCell ref="AG1:AH1"/>
    <mergeCell ref="AI1:AJ1"/>
    <mergeCell ref="AZ1:BA1"/>
    <mergeCell ref="AA1:AB1"/>
    <mergeCell ref="T1:U1"/>
    <mergeCell ref="BD1:BE1"/>
    <mergeCell ref="AC1:AD1"/>
    <mergeCell ref="P1:Q1"/>
    <mergeCell ref="CA1:CB1"/>
    <mergeCell ref="G1:H1"/>
    <mergeCell ref="BT1:BU1"/>
    <mergeCell ref="AR1:AS1"/>
    <mergeCell ref="R1:S1"/>
    <mergeCell ref="CM1:CN1"/>
    <mergeCell ref="BH1:BI1"/>
    <mergeCell ref="BN1:BO1"/>
    <mergeCell ref="BP1:BQ1"/>
    <mergeCell ref="X1:Y1"/>
    <mergeCell ref="K1:L1"/>
    <mergeCell ref="AP1:AQ1"/>
    <mergeCell ref="BF1:BG1"/>
    <mergeCell ref="CH1:CI1"/>
    <mergeCell ref="N1:O1"/>
    <mergeCell ref="AM1:AN1"/>
    <mergeCell ref="AK1:AL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G12"/>
  <sheetViews>
    <sheetView topLeftCell="G1" zoomScale="75" workbookViewId="0">
      <selection activeCell="L27" sqref="L2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240</v>
      </c>
      <c r="F2">
        <v>92</v>
      </c>
      <c r="G2">
        <v>71</v>
      </c>
      <c r="H2">
        <v>58</v>
      </c>
      <c r="I2">
        <v>0</v>
      </c>
      <c r="J2">
        <v>0</v>
      </c>
      <c r="K2">
        <v>1</v>
      </c>
      <c r="L2">
        <v>0</v>
      </c>
      <c r="M2">
        <v>7.0000000000000007E-2</v>
      </c>
      <c r="N2">
        <v>50</v>
      </c>
      <c r="O2">
        <v>45</v>
      </c>
      <c r="P2">
        <v>4</v>
      </c>
      <c r="Q2">
        <v>4</v>
      </c>
      <c r="R2">
        <v>0</v>
      </c>
      <c r="S2">
        <v>0</v>
      </c>
      <c r="T2">
        <v>1</v>
      </c>
      <c r="U2">
        <v>1</v>
      </c>
      <c r="V2">
        <v>17</v>
      </c>
      <c r="W2">
        <v>11</v>
      </c>
      <c r="X2">
        <v>4</v>
      </c>
      <c r="Y2">
        <v>3</v>
      </c>
      <c r="Z2">
        <v>1</v>
      </c>
      <c r="AA2">
        <v>10</v>
      </c>
      <c r="AB2">
        <v>3</v>
      </c>
      <c r="AC2">
        <v>7</v>
      </c>
      <c r="AD2">
        <v>4</v>
      </c>
      <c r="AE2">
        <v>0</v>
      </c>
      <c r="AF2">
        <v>0</v>
      </c>
      <c r="AG2">
        <v>8</v>
      </c>
      <c r="AH2">
        <v>5</v>
      </c>
      <c r="AI2">
        <v>4</v>
      </c>
      <c r="AJ2">
        <v>3</v>
      </c>
      <c r="AK2">
        <v>3</v>
      </c>
      <c r="AL2">
        <v>2</v>
      </c>
      <c r="AM2">
        <v>0</v>
      </c>
      <c r="AN2">
        <v>0</v>
      </c>
      <c r="AO2">
        <v>1</v>
      </c>
      <c r="AP2">
        <v>10</v>
      </c>
      <c r="AQ2">
        <v>3</v>
      </c>
      <c r="AR2">
        <v>7</v>
      </c>
      <c r="AS2">
        <v>4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7.0000000000000007E-2</v>
      </c>
      <c r="BC2">
        <v>1</v>
      </c>
      <c r="BD2">
        <v>0</v>
      </c>
      <c r="BE2">
        <v>0</v>
      </c>
      <c r="BF2">
        <v>1</v>
      </c>
      <c r="BG2">
        <v>1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50</v>
      </c>
      <c r="BO2">
        <v>45</v>
      </c>
      <c r="BP2">
        <v>4</v>
      </c>
      <c r="BQ2">
        <v>4</v>
      </c>
      <c r="BR2">
        <v>0</v>
      </c>
      <c r="BS2">
        <v>0</v>
      </c>
      <c r="BT2">
        <v>0</v>
      </c>
      <c r="BU2">
        <v>0</v>
      </c>
      <c r="BV2">
        <v>0</v>
      </c>
      <c r="BW2">
        <v>0.12</v>
      </c>
      <c r="BX2">
        <v>0</v>
      </c>
      <c r="BY2">
        <v>6</v>
      </c>
      <c r="BZ2">
        <v>5</v>
      </c>
      <c r="CA2">
        <v>1</v>
      </c>
      <c r="CB2">
        <v>1</v>
      </c>
      <c r="CC2">
        <v>35</v>
      </c>
      <c r="CD2">
        <v>13</v>
      </c>
      <c r="CE2">
        <v>11</v>
      </c>
      <c r="CF2">
        <v>13</v>
      </c>
      <c r="CG2">
        <v>13</v>
      </c>
    </row>
    <row r="3" spans="1:85" x14ac:dyDescent="0.15">
      <c r="A3" t="s">
        <v>90</v>
      </c>
      <c r="B3" t="s">
        <v>79</v>
      </c>
      <c r="C3" t="s">
        <v>32</v>
      </c>
      <c r="D3" t="s">
        <v>30</v>
      </c>
      <c r="E3" t="s">
        <v>230</v>
      </c>
      <c r="F3">
        <v>65</v>
      </c>
      <c r="G3">
        <v>46</v>
      </c>
      <c r="H3">
        <v>29</v>
      </c>
      <c r="I3">
        <v>0</v>
      </c>
      <c r="J3">
        <v>0</v>
      </c>
      <c r="K3">
        <v>2</v>
      </c>
      <c r="L3">
        <v>1</v>
      </c>
      <c r="M3">
        <v>0.84</v>
      </c>
      <c r="N3">
        <v>28</v>
      </c>
      <c r="O3">
        <v>24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2</v>
      </c>
      <c r="AA3">
        <v>5</v>
      </c>
      <c r="AB3">
        <v>4</v>
      </c>
      <c r="AC3">
        <v>8</v>
      </c>
      <c r="AD3">
        <v>2</v>
      </c>
      <c r="AE3">
        <v>0</v>
      </c>
      <c r="AF3">
        <v>0</v>
      </c>
      <c r="AG3">
        <v>6</v>
      </c>
      <c r="AH3">
        <v>4</v>
      </c>
      <c r="AI3">
        <v>0</v>
      </c>
      <c r="AJ3">
        <v>0</v>
      </c>
      <c r="AK3">
        <v>3</v>
      </c>
      <c r="AL3">
        <v>0</v>
      </c>
      <c r="AM3">
        <v>0</v>
      </c>
      <c r="AN3">
        <v>0</v>
      </c>
      <c r="AO3">
        <v>2</v>
      </c>
      <c r="AP3">
        <v>5</v>
      </c>
      <c r="AQ3">
        <v>4</v>
      </c>
      <c r="AR3">
        <v>8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2</v>
      </c>
      <c r="BA3">
        <v>1</v>
      </c>
      <c r="BB3">
        <v>0.84</v>
      </c>
      <c r="BC3">
        <v>0</v>
      </c>
      <c r="BD3">
        <v>1</v>
      </c>
      <c r="BE3">
        <v>0</v>
      </c>
      <c r="BF3">
        <v>0</v>
      </c>
      <c r="BG3">
        <v>0</v>
      </c>
      <c r="BH3">
        <v>1</v>
      </c>
      <c r="BI3">
        <v>0</v>
      </c>
      <c r="BJ3">
        <v>3</v>
      </c>
      <c r="BK3">
        <v>0</v>
      </c>
      <c r="BL3">
        <v>0</v>
      </c>
      <c r="BM3">
        <v>0</v>
      </c>
      <c r="BN3">
        <v>28</v>
      </c>
      <c r="BO3">
        <v>24</v>
      </c>
      <c r="BP3">
        <v>0</v>
      </c>
      <c r="BQ3">
        <v>0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0</v>
      </c>
      <c r="CB3">
        <v>0</v>
      </c>
      <c r="CC3">
        <v>18</v>
      </c>
      <c r="CD3">
        <v>4</v>
      </c>
      <c r="CE3">
        <v>3</v>
      </c>
      <c r="CF3">
        <v>4</v>
      </c>
      <c r="CG3">
        <v>4</v>
      </c>
    </row>
    <row r="4" spans="1:85" x14ac:dyDescent="0.15">
      <c r="A4" t="s">
        <v>77</v>
      </c>
      <c r="B4" t="s">
        <v>82</v>
      </c>
      <c r="C4" t="s">
        <v>32</v>
      </c>
      <c r="D4" t="s">
        <v>37</v>
      </c>
      <c r="E4" t="s">
        <v>230</v>
      </c>
      <c r="F4">
        <v>96</v>
      </c>
      <c r="G4">
        <v>79</v>
      </c>
      <c r="H4">
        <v>49</v>
      </c>
      <c r="I4">
        <v>0</v>
      </c>
      <c r="J4">
        <v>0</v>
      </c>
      <c r="K4">
        <v>1</v>
      </c>
      <c r="L4">
        <v>1</v>
      </c>
      <c r="M4">
        <v>0.19</v>
      </c>
      <c r="N4">
        <v>38</v>
      </c>
      <c r="O4">
        <v>30</v>
      </c>
      <c r="P4">
        <v>5</v>
      </c>
      <c r="Q4">
        <v>4</v>
      </c>
      <c r="R4">
        <v>1</v>
      </c>
      <c r="S4">
        <v>0</v>
      </c>
      <c r="T4">
        <v>2</v>
      </c>
      <c r="U4">
        <v>2</v>
      </c>
      <c r="V4">
        <v>33</v>
      </c>
      <c r="W4">
        <v>18</v>
      </c>
      <c r="X4">
        <v>3</v>
      </c>
      <c r="Y4">
        <v>3</v>
      </c>
      <c r="Z4">
        <v>4</v>
      </c>
      <c r="AA4">
        <v>13</v>
      </c>
      <c r="AB4">
        <v>4</v>
      </c>
      <c r="AC4">
        <v>12</v>
      </c>
      <c r="AD4">
        <v>7</v>
      </c>
      <c r="AE4">
        <v>59</v>
      </c>
      <c r="AF4">
        <v>0</v>
      </c>
      <c r="AG4">
        <v>19</v>
      </c>
      <c r="AH4">
        <v>10</v>
      </c>
      <c r="AI4">
        <v>3</v>
      </c>
      <c r="AJ4">
        <v>3</v>
      </c>
      <c r="AK4">
        <v>3</v>
      </c>
      <c r="AL4">
        <v>0</v>
      </c>
      <c r="AM4">
        <v>0</v>
      </c>
      <c r="AN4">
        <v>0</v>
      </c>
      <c r="AO4">
        <v>4</v>
      </c>
      <c r="AP4">
        <v>13</v>
      </c>
      <c r="AQ4">
        <v>4</v>
      </c>
      <c r="AR4">
        <v>12</v>
      </c>
      <c r="AS4">
        <v>7</v>
      </c>
      <c r="AT4">
        <v>2</v>
      </c>
      <c r="AU4">
        <v>4</v>
      </c>
      <c r="AV4">
        <v>1</v>
      </c>
      <c r="AW4">
        <v>0</v>
      </c>
      <c r="AX4">
        <v>0</v>
      </c>
      <c r="AY4">
        <v>0</v>
      </c>
      <c r="AZ4">
        <v>1</v>
      </c>
      <c r="BA4">
        <v>1</v>
      </c>
      <c r="BB4">
        <v>0.19</v>
      </c>
      <c r="BC4">
        <v>0</v>
      </c>
      <c r="BD4">
        <v>1</v>
      </c>
      <c r="BE4">
        <v>0</v>
      </c>
      <c r="BF4">
        <v>2</v>
      </c>
      <c r="BG4">
        <v>2</v>
      </c>
      <c r="BH4">
        <v>8</v>
      </c>
      <c r="BI4">
        <v>5</v>
      </c>
      <c r="BJ4">
        <v>3</v>
      </c>
      <c r="BK4">
        <v>0</v>
      </c>
      <c r="BL4">
        <v>0</v>
      </c>
      <c r="BM4">
        <v>4</v>
      </c>
      <c r="BN4">
        <v>38</v>
      </c>
      <c r="BO4">
        <v>30</v>
      </c>
      <c r="BP4">
        <v>5</v>
      </c>
      <c r="BQ4">
        <v>4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1</v>
      </c>
      <c r="BZ4">
        <v>1</v>
      </c>
      <c r="CA4">
        <v>1</v>
      </c>
      <c r="CB4">
        <v>0</v>
      </c>
      <c r="CC4">
        <v>23</v>
      </c>
      <c r="CD4">
        <v>11</v>
      </c>
      <c r="CE4">
        <v>9</v>
      </c>
      <c r="CF4">
        <v>5</v>
      </c>
      <c r="CG4">
        <v>4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221</v>
      </c>
      <c r="F5">
        <v>30</v>
      </c>
      <c r="G5">
        <v>22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12</v>
      </c>
      <c r="W5">
        <v>5</v>
      </c>
      <c r="X5">
        <v>5</v>
      </c>
      <c r="Y5">
        <v>2</v>
      </c>
      <c r="Z5">
        <v>3</v>
      </c>
      <c r="AA5">
        <v>8</v>
      </c>
      <c r="AB5">
        <v>3</v>
      </c>
      <c r="AC5">
        <v>2</v>
      </c>
      <c r="AD5">
        <v>0</v>
      </c>
      <c r="AE5">
        <v>0</v>
      </c>
      <c r="AF5">
        <v>0</v>
      </c>
      <c r="AG5">
        <v>3</v>
      </c>
      <c r="AH5">
        <v>3</v>
      </c>
      <c r="AI5">
        <v>5</v>
      </c>
      <c r="AJ5">
        <v>2</v>
      </c>
      <c r="AK5">
        <v>1</v>
      </c>
      <c r="AL5">
        <v>0</v>
      </c>
      <c r="AM5">
        <v>0</v>
      </c>
      <c r="AN5">
        <v>0</v>
      </c>
      <c r="AO5">
        <v>3</v>
      </c>
      <c r="AP5">
        <v>8</v>
      </c>
      <c r="AQ5">
        <v>3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3</v>
      </c>
      <c r="BI5">
        <v>0</v>
      </c>
      <c r="BJ5">
        <v>0</v>
      </c>
      <c r="BK5">
        <v>0</v>
      </c>
      <c r="BL5">
        <v>0</v>
      </c>
      <c r="BM5">
        <v>0</v>
      </c>
      <c r="BN5">
        <v>7</v>
      </c>
      <c r="BO5">
        <v>2</v>
      </c>
      <c r="BP5">
        <v>2</v>
      </c>
      <c r="BQ5">
        <v>0</v>
      </c>
      <c r="BR5">
        <v>1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2</v>
      </c>
      <c r="BZ5">
        <v>0</v>
      </c>
      <c r="CA5">
        <v>1</v>
      </c>
      <c r="CB5">
        <v>0</v>
      </c>
      <c r="CC5">
        <v>1</v>
      </c>
      <c r="CD5">
        <v>3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221</v>
      </c>
      <c r="F6">
        <v>58</v>
      </c>
      <c r="G6">
        <v>52</v>
      </c>
      <c r="H6">
        <v>33</v>
      </c>
      <c r="I6">
        <v>0</v>
      </c>
      <c r="J6">
        <v>0</v>
      </c>
      <c r="K6">
        <v>0</v>
      </c>
      <c r="L6">
        <v>0</v>
      </c>
      <c r="M6">
        <v>0</v>
      </c>
      <c r="N6">
        <v>34</v>
      </c>
      <c r="O6">
        <v>26</v>
      </c>
      <c r="P6">
        <v>3</v>
      </c>
      <c r="Q6">
        <v>1</v>
      </c>
      <c r="R6">
        <v>1</v>
      </c>
      <c r="S6">
        <v>0</v>
      </c>
      <c r="T6">
        <v>1</v>
      </c>
      <c r="U6">
        <v>0</v>
      </c>
      <c r="V6">
        <v>14</v>
      </c>
      <c r="W6">
        <v>6</v>
      </c>
      <c r="X6">
        <v>3</v>
      </c>
      <c r="Y6">
        <v>2</v>
      </c>
      <c r="Z6">
        <v>0</v>
      </c>
      <c r="AA6">
        <v>14</v>
      </c>
      <c r="AB6">
        <v>1</v>
      </c>
      <c r="AC6">
        <v>6</v>
      </c>
      <c r="AD6">
        <v>4</v>
      </c>
      <c r="AE6">
        <v>0</v>
      </c>
      <c r="AF6">
        <v>0</v>
      </c>
      <c r="AG6">
        <v>2</v>
      </c>
      <c r="AH6">
        <v>1</v>
      </c>
      <c r="AI6">
        <v>3</v>
      </c>
      <c r="AJ6">
        <v>2</v>
      </c>
      <c r="AK6">
        <v>0</v>
      </c>
      <c r="AL6">
        <v>0</v>
      </c>
      <c r="AM6">
        <v>0</v>
      </c>
      <c r="AN6">
        <v>0</v>
      </c>
      <c r="AO6">
        <v>0</v>
      </c>
      <c r="AP6">
        <v>14</v>
      </c>
      <c r="AQ6">
        <v>1</v>
      </c>
      <c r="AR6">
        <v>6</v>
      </c>
      <c r="AS6">
        <v>4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9</v>
      </c>
      <c r="BI6">
        <v>3</v>
      </c>
      <c r="BJ6">
        <v>1</v>
      </c>
      <c r="BK6">
        <v>0</v>
      </c>
      <c r="BL6">
        <v>0</v>
      </c>
      <c r="BM6">
        <v>1</v>
      </c>
      <c r="BN6">
        <v>34</v>
      </c>
      <c r="BO6">
        <v>26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5</v>
      </c>
      <c r="BZ6">
        <v>3</v>
      </c>
      <c r="CA6">
        <v>4</v>
      </c>
      <c r="CB6">
        <v>2</v>
      </c>
      <c r="CC6">
        <v>23</v>
      </c>
      <c r="CD6">
        <v>8</v>
      </c>
      <c r="CE6">
        <v>5</v>
      </c>
      <c r="CF6">
        <v>11</v>
      </c>
      <c r="CG6">
        <v>11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229</v>
      </c>
      <c r="F7">
        <v>81</v>
      </c>
      <c r="G7">
        <v>44</v>
      </c>
      <c r="H7">
        <v>31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21</v>
      </c>
      <c r="P7">
        <v>3</v>
      </c>
      <c r="Q7">
        <v>2</v>
      </c>
      <c r="R7">
        <v>0</v>
      </c>
      <c r="S7">
        <v>0</v>
      </c>
      <c r="T7">
        <v>2</v>
      </c>
      <c r="U7">
        <v>0</v>
      </c>
      <c r="V7">
        <v>15</v>
      </c>
      <c r="W7">
        <v>9</v>
      </c>
      <c r="X7">
        <v>3</v>
      </c>
      <c r="Y7">
        <v>1</v>
      </c>
      <c r="Z7">
        <v>4</v>
      </c>
      <c r="AA7">
        <v>5</v>
      </c>
      <c r="AB7">
        <v>4</v>
      </c>
      <c r="AC7">
        <v>12</v>
      </c>
      <c r="AD7">
        <v>6</v>
      </c>
      <c r="AE7">
        <v>0</v>
      </c>
      <c r="AF7">
        <v>0</v>
      </c>
      <c r="AG7">
        <v>6</v>
      </c>
      <c r="AH7">
        <v>5</v>
      </c>
      <c r="AI7">
        <v>3</v>
      </c>
      <c r="AJ7">
        <v>1</v>
      </c>
      <c r="AK7">
        <v>1</v>
      </c>
      <c r="AL7">
        <v>1</v>
      </c>
      <c r="AM7">
        <v>0</v>
      </c>
      <c r="AN7">
        <v>0</v>
      </c>
      <c r="AO7">
        <v>4</v>
      </c>
      <c r="AP7">
        <v>5</v>
      </c>
      <c r="AQ7">
        <v>4</v>
      </c>
      <c r="AR7">
        <v>12</v>
      </c>
      <c r="AS7">
        <v>6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2</v>
      </c>
      <c r="BG7">
        <v>0</v>
      </c>
      <c r="BH7">
        <v>5</v>
      </c>
      <c r="BI7">
        <v>2</v>
      </c>
      <c r="BJ7">
        <v>0</v>
      </c>
      <c r="BK7">
        <v>0</v>
      </c>
      <c r="BL7">
        <v>1</v>
      </c>
      <c r="BM7">
        <v>1</v>
      </c>
      <c r="BN7">
        <v>24</v>
      </c>
      <c r="BO7">
        <v>21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0.04</v>
      </c>
      <c r="BX7">
        <v>0</v>
      </c>
      <c r="BY7">
        <v>4</v>
      </c>
      <c r="BZ7">
        <v>3</v>
      </c>
      <c r="CA7">
        <v>0</v>
      </c>
      <c r="CB7">
        <v>0</v>
      </c>
      <c r="CC7">
        <v>8</v>
      </c>
      <c r="CD7">
        <v>9</v>
      </c>
      <c r="CE7">
        <v>7</v>
      </c>
      <c r="CF7">
        <v>8</v>
      </c>
      <c r="CG7">
        <v>8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241</v>
      </c>
      <c r="F8">
        <v>97</v>
      </c>
      <c r="G8">
        <v>77</v>
      </c>
      <c r="H8">
        <v>44</v>
      </c>
      <c r="I8">
        <v>0</v>
      </c>
      <c r="J8">
        <v>0</v>
      </c>
      <c r="K8">
        <v>0</v>
      </c>
      <c r="L8">
        <v>0</v>
      </c>
      <c r="M8">
        <v>0</v>
      </c>
      <c r="N8">
        <v>37</v>
      </c>
      <c r="O8">
        <v>25</v>
      </c>
      <c r="P8">
        <v>4</v>
      </c>
      <c r="Q8">
        <v>2</v>
      </c>
      <c r="R8">
        <v>1</v>
      </c>
      <c r="S8">
        <v>0</v>
      </c>
      <c r="T8">
        <v>1</v>
      </c>
      <c r="U8">
        <v>1</v>
      </c>
      <c r="V8">
        <v>30</v>
      </c>
      <c r="W8">
        <v>18</v>
      </c>
      <c r="X8">
        <v>2</v>
      </c>
      <c r="Y8">
        <v>1</v>
      </c>
      <c r="Z8">
        <v>4</v>
      </c>
      <c r="AA8">
        <v>12</v>
      </c>
      <c r="AB8">
        <v>6</v>
      </c>
      <c r="AC8">
        <v>17</v>
      </c>
      <c r="AD8">
        <v>9</v>
      </c>
      <c r="AE8">
        <v>0</v>
      </c>
      <c r="AF8">
        <v>0</v>
      </c>
      <c r="AG8">
        <v>21</v>
      </c>
      <c r="AH8">
        <v>13</v>
      </c>
      <c r="AI8">
        <v>2</v>
      </c>
      <c r="AJ8">
        <v>1</v>
      </c>
      <c r="AK8">
        <v>3</v>
      </c>
      <c r="AL8">
        <v>2</v>
      </c>
      <c r="AM8">
        <v>0</v>
      </c>
      <c r="AN8">
        <v>0</v>
      </c>
      <c r="AO8">
        <v>4</v>
      </c>
      <c r="AP8">
        <v>12</v>
      </c>
      <c r="AQ8">
        <v>6</v>
      </c>
      <c r="AR8">
        <v>17</v>
      </c>
      <c r="AS8">
        <v>9</v>
      </c>
      <c r="AT8">
        <v>1</v>
      </c>
      <c r="AU8">
        <v>3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4</v>
      </c>
      <c r="BI8">
        <v>2</v>
      </c>
      <c r="BJ8">
        <v>2</v>
      </c>
      <c r="BK8">
        <v>0</v>
      </c>
      <c r="BL8">
        <v>1</v>
      </c>
      <c r="BM8">
        <v>0</v>
      </c>
      <c r="BN8">
        <v>37</v>
      </c>
      <c r="BO8">
        <v>25</v>
      </c>
      <c r="BP8">
        <v>4</v>
      </c>
      <c r="BQ8">
        <v>2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8</v>
      </c>
      <c r="BZ8">
        <v>7</v>
      </c>
      <c r="CA8">
        <v>1</v>
      </c>
      <c r="CB8">
        <v>0</v>
      </c>
      <c r="CC8">
        <v>14</v>
      </c>
      <c r="CD8">
        <v>17</v>
      </c>
      <c r="CE8">
        <v>10</v>
      </c>
      <c r="CF8">
        <v>4</v>
      </c>
      <c r="CG8">
        <v>4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221</v>
      </c>
      <c r="F9">
        <v>87</v>
      </c>
      <c r="G9">
        <v>52</v>
      </c>
      <c r="H9">
        <v>25</v>
      </c>
      <c r="I9">
        <v>0</v>
      </c>
      <c r="J9">
        <v>0</v>
      </c>
      <c r="K9">
        <v>1</v>
      </c>
      <c r="L9">
        <v>0</v>
      </c>
      <c r="M9">
        <v>0.06</v>
      </c>
      <c r="N9">
        <v>25</v>
      </c>
      <c r="O9">
        <v>19</v>
      </c>
      <c r="P9">
        <v>1</v>
      </c>
      <c r="Q9">
        <v>0</v>
      </c>
      <c r="R9">
        <v>1</v>
      </c>
      <c r="S9">
        <v>1</v>
      </c>
      <c r="T9">
        <v>3</v>
      </c>
      <c r="U9">
        <v>1</v>
      </c>
      <c r="V9">
        <v>18</v>
      </c>
      <c r="W9">
        <v>6</v>
      </c>
      <c r="X9">
        <v>5</v>
      </c>
      <c r="Y9">
        <v>1</v>
      </c>
      <c r="Z9">
        <v>2</v>
      </c>
      <c r="AA9">
        <v>12</v>
      </c>
      <c r="AB9">
        <v>2</v>
      </c>
      <c r="AC9">
        <v>7</v>
      </c>
      <c r="AD9">
        <v>3</v>
      </c>
      <c r="AE9">
        <v>0</v>
      </c>
      <c r="AF9">
        <v>0</v>
      </c>
      <c r="AG9">
        <v>8</v>
      </c>
      <c r="AH9">
        <v>3</v>
      </c>
      <c r="AI9">
        <v>5</v>
      </c>
      <c r="AJ9">
        <v>1</v>
      </c>
      <c r="AK9">
        <v>0</v>
      </c>
      <c r="AL9">
        <v>0</v>
      </c>
      <c r="AM9">
        <v>0</v>
      </c>
      <c r="AN9">
        <v>0</v>
      </c>
      <c r="AO9">
        <v>2</v>
      </c>
      <c r="AP9">
        <v>12</v>
      </c>
      <c r="AQ9">
        <v>2</v>
      </c>
      <c r="AR9">
        <v>7</v>
      </c>
      <c r="AS9">
        <v>3</v>
      </c>
      <c r="AT9">
        <v>3</v>
      </c>
      <c r="AU9">
        <v>4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0.06</v>
      </c>
      <c r="BC9">
        <v>2</v>
      </c>
      <c r="BD9">
        <v>1</v>
      </c>
      <c r="BE9">
        <v>1</v>
      </c>
      <c r="BF9">
        <v>3</v>
      </c>
      <c r="BG9">
        <v>1</v>
      </c>
      <c r="BH9">
        <v>5</v>
      </c>
      <c r="BI9">
        <v>2</v>
      </c>
      <c r="BJ9">
        <v>2</v>
      </c>
      <c r="BK9">
        <v>0</v>
      </c>
      <c r="BL9">
        <v>1</v>
      </c>
      <c r="BM9">
        <v>0</v>
      </c>
      <c r="BN9">
        <v>25</v>
      </c>
      <c r="BO9">
        <v>19</v>
      </c>
      <c r="BP9">
        <v>1</v>
      </c>
      <c r="BQ9">
        <v>0</v>
      </c>
      <c r="BR9">
        <v>1</v>
      </c>
      <c r="BS9">
        <v>0</v>
      </c>
      <c r="BT9">
        <v>1</v>
      </c>
      <c r="BU9">
        <v>1</v>
      </c>
      <c r="BV9">
        <v>0</v>
      </c>
      <c r="BW9">
        <v>0.15</v>
      </c>
      <c r="BX9">
        <v>0</v>
      </c>
      <c r="BY9">
        <v>4</v>
      </c>
      <c r="BZ9">
        <v>1</v>
      </c>
      <c r="CA9">
        <v>2</v>
      </c>
      <c r="CB9">
        <v>1</v>
      </c>
      <c r="CC9">
        <v>14</v>
      </c>
      <c r="CD9">
        <v>10</v>
      </c>
      <c r="CE9">
        <v>7</v>
      </c>
      <c r="CF9">
        <v>7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242</v>
      </c>
      <c r="F10">
        <v>101</v>
      </c>
      <c r="G10">
        <v>73</v>
      </c>
      <c r="H10">
        <v>40</v>
      </c>
      <c r="I10">
        <v>0</v>
      </c>
      <c r="J10">
        <v>0</v>
      </c>
      <c r="K10">
        <v>1</v>
      </c>
      <c r="L10">
        <v>1</v>
      </c>
      <c r="M10">
        <v>0.15</v>
      </c>
      <c r="N10">
        <v>38</v>
      </c>
      <c r="O10">
        <v>25</v>
      </c>
      <c r="P10">
        <v>1</v>
      </c>
      <c r="Q10">
        <v>0</v>
      </c>
      <c r="R10">
        <v>1</v>
      </c>
      <c r="S10">
        <v>0</v>
      </c>
      <c r="T10">
        <v>3</v>
      </c>
      <c r="U10">
        <v>3</v>
      </c>
      <c r="V10">
        <v>26</v>
      </c>
      <c r="W10">
        <v>13</v>
      </c>
      <c r="X10">
        <v>5</v>
      </c>
      <c r="Y10">
        <v>3</v>
      </c>
      <c r="Z10">
        <v>4</v>
      </c>
      <c r="AA10">
        <v>18</v>
      </c>
      <c r="AB10">
        <v>5</v>
      </c>
      <c r="AC10">
        <v>12</v>
      </c>
      <c r="AD10">
        <v>7</v>
      </c>
      <c r="AE10">
        <v>0</v>
      </c>
      <c r="AF10">
        <v>0</v>
      </c>
      <c r="AG10">
        <v>11</v>
      </c>
      <c r="AH10">
        <v>7</v>
      </c>
      <c r="AI10">
        <v>5</v>
      </c>
      <c r="AJ10">
        <v>3</v>
      </c>
      <c r="AK10">
        <v>3</v>
      </c>
      <c r="AL10">
        <v>0</v>
      </c>
      <c r="AM10">
        <v>0</v>
      </c>
      <c r="AN10">
        <v>0</v>
      </c>
      <c r="AO10">
        <v>4</v>
      </c>
      <c r="AP10">
        <v>18</v>
      </c>
      <c r="AQ10">
        <v>5</v>
      </c>
      <c r="AR10">
        <v>12</v>
      </c>
      <c r="AS10">
        <v>7</v>
      </c>
      <c r="AT10">
        <v>1</v>
      </c>
      <c r="AU10">
        <v>2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1</v>
      </c>
      <c r="BB10">
        <v>0.15</v>
      </c>
      <c r="BC10">
        <v>0</v>
      </c>
      <c r="BD10">
        <v>1</v>
      </c>
      <c r="BE10">
        <v>0</v>
      </c>
      <c r="BF10">
        <v>3</v>
      </c>
      <c r="BG10">
        <v>3</v>
      </c>
      <c r="BH10">
        <v>7</v>
      </c>
      <c r="BI10">
        <v>3</v>
      </c>
      <c r="BJ10">
        <v>2</v>
      </c>
      <c r="BK10">
        <v>0</v>
      </c>
      <c r="BL10">
        <v>0</v>
      </c>
      <c r="BM10">
        <v>0</v>
      </c>
      <c r="BN10">
        <v>38</v>
      </c>
      <c r="BO10">
        <v>25</v>
      </c>
      <c r="BP10">
        <v>1</v>
      </c>
      <c r="BQ10">
        <v>0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8</v>
      </c>
      <c r="BZ10">
        <v>4</v>
      </c>
      <c r="CA10">
        <v>3</v>
      </c>
      <c r="CB10">
        <v>0</v>
      </c>
      <c r="CC10">
        <v>16</v>
      </c>
      <c r="CD10">
        <v>9</v>
      </c>
      <c r="CE10">
        <v>5</v>
      </c>
      <c r="CF10">
        <v>8</v>
      </c>
      <c r="CG10">
        <v>7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221</v>
      </c>
      <c r="F11">
        <v>98</v>
      </c>
      <c r="G11">
        <v>64</v>
      </c>
      <c r="H11">
        <v>36</v>
      </c>
      <c r="I11">
        <v>0</v>
      </c>
      <c r="J11">
        <v>0</v>
      </c>
      <c r="K11">
        <v>1</v>
      </c>
      <c r="L11">
        <v>0</v>
      </c>
      <c r="M11">
        <v>0</v>
      </c>
      <c r="N11">
        <v>30</v>
      </c>
      <c r="O11">
        <v>24</v>
      </c>
      <c r="P11">
        <v>1</v>
      </c>
      <c r="Q11">
        <v>1</v>
      </c>
      <c r="R11">
        <v>1</v>
      </c>
      <c r="S11">
        <v>0</v>
      </c>
      <c r="T11">
        <v>1</v>
      </c>
      <c r="U11">
        <v>1</v>
      </c>
      <c r="V11">
        <v>23</v>
      </c>
      <c r="W11">
        <v>12</v>
      </c>
      <c r="X11">
        <v>2</v>
      </c>
      <c r="Y11">
        <v>1</v>
      </c>
      <c r="Z11">
        <v>7</v>
      </c>
      <c r="AA11">
        <v>8</v>
      </c>
      <c r="AB11">
        <v>3</v>
      </c>
      <c r="AC11">
        <v>13</v>
      </c>
      <c r="AD11">
        <v>1</v>
      </c>
      <c r="AE11">
        <v>0</v>
      </c>
      <c r="AF11">
        <v>0</v>
      </c>
      <c r="AG11">
        <v>13</v>
      </c>
      <c r="AH11">
        <v>7</v>
      </c>
      <c r="AI11">
        <v>2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7</v>
      </c>
      <c r="AP11">
        <v>8</v>
      </c>
      <c r="AQ11">
        <v>3</v>
      </c>
      <c r="AR11">
        <v>13</v>
      </c>
      <c r="AS11">
        <v>1</v>
      </c>
      <c r="AT11">
        <v>2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7</v>
      </c>
      <c r="BI11">
        <v>4</v>
      </c>
      <c r="BJ11">
        <v>1</v>
      </c>
      <c r="BK11">
        <v>0</v>
      </c>
      <c r="BL11">
        <v>1</v>
      </c>
      <c r="BM11">
        <v>4</v>
      </c>
      <c r="BN11">
        <v>30</v>
      </c>
      <c r="BO11">
        <v>24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4</v>
      </c>
      <c r="BZ11">
        <v>2</v>
      </c>
      <c r="CA11">
        <v>2</v>
      </c>
      <c r="CB11">
        <v>2</v>
      </c>
      <c r="CC11">
        <v>24</v>
      </c>
      <c r="CD11">
        <v>9</v>
      </c>
      <c r="CE11">
        <v>7</v>
      </c>
      <c r="CF11">
        <v>7</v>
      </c>
      <c r="CG11">
        <v>6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221</v>
      </c>
      <c r="F12">
        <v>29</v>
      </c>
      <c r="G12">
        <v>34</v>
      </c>
      <c r="H12">
        <v>22</v>
      </c>
      <c r="I12">
        <v>0</v>
      </c>
      <c r="J12">
        <v>0</v>
      </c>
      <c r="K12">
        <v>0</v>
      </c>
      <c r="L12">
        <v>0</v>
      </c>
      <c r="M12">
        <v>0</v>
      </c>
      <c r="N12">
        <v>23</v>
      </c>
      <c r="O12">
        <v>17</v>
      </c>
      <c r="P12">
        <v>4</v>
      </c>
      <c r="Q12">
        <v>3</v>
      </c>
      <c r="R12">
        <v>1</v>
      </c>
      <c r="S12">
        <v>0</v>
      </c>
      <c r="T12">
        <v>0</v>
      </c>
      <c r="U12">
        <v>0</v>
      </c>
      <c r="V12">
        <v>8</v>
      </c>
      <c r="W12">
        <v>5</v>
      </c>
      <c r="X12">
        <v>3</v>
      </c>
      <c r="Y12">
        <v>3</v>
      </c>
      <c r="Z12">
        <v>2</v>
      </c>
      <c r="AA12">
        <v>6</v>
      </c>
      <c r="AB12">
        <v>0</v>
      </c>
      <c r="AC12">
        <v>7</v>
      </c>
      <c r="AD12">
        <v>6</v>
      </c>
      <c r="AE12">
        <v>87</v>
      </c>
      <c r="AF12">
        <v>0</v>
      </c>
      <c r="AG12">
        <v>3</v>
      </c>
      <c r="AH12">
        <v>2</v>
      </c>
      <c r="AI12">
        <v>3</v>
      </c>
      <c r="AJ12">
        <v>3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6</v>
      </c>
      <c r="AQ12">
        <v>0</v>
      </c>
      <c r="AR12">
        <v>7</v>
      </c>
      <c r="AS12">
        <v>6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0</v>
      </c>
      <c r="BH12">
        <v>2</v>
      </c>
      <c r="BI12">
        <v>0</v>
      </c>
      <c r="BJ12">
        <v>1</v>
      </c>
      <c r="BK12">
        <v>0</v>
      </c>
      <c r="BL12">
        <v>0</v>
      </c>
      <c r="BM12">
        <v>1</v>
      </c>
      <c r="BN12">
        <v>23</v>
      </c>
      <c r="BO12">
        <v>17</v>
      </c>
      <c r="BP12">
        <v>4</v>
      </c>
      <c r="BQ12">
        <v>3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7</v>
      </c>
      <c r="BZ12">
        <v>6</v>
      </c>
      <c r="CA12">
        <v>3</v>
      </c>
      <c r="CB12">
        <v>2</v>
      </c>
      <c r="CC12">
        <v>13</v>
      </c>
      <c r="CD12">
        <v>10</v>
      </c>
      <c r="CE12">
        <v>6</v>
      </c>
      <c r="CF12">
        <v>4</v>
      </c>
      <c r="CG12">
        <v>4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G15"/>
  <sheetViews>
    <sheetView topLeftCell="O1" zoomScale="82" workbookViewId="0">
      <selection activeCell="C17" sqref="C1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237</v>
      </c>
      <c r="F2">
        <v>92</v>
      </c>
      <c r="G2">
        <v>60</v>
      </c>
      <c r="H2">
        <v>30</v>
      </c>
      <c r="I2">
        <v>0</v>
      </c>
      <c r="J2">
        <v>0</v>
      </c>
      <c r="K2">
        <v>1</v>
      </c>
      <c r="L2">
        <v>0</v>
      </c>
      <c r="M2">
        <v>0.12</v>
      </c>
      <c r="N2">
        <v>34</v>
      </c>
      <c r="O2">
        <v>28</v>
      </c>
      <c r="P2">
        <v>2</v>
      </c>
      <c r="Q2">
        <v>2</v>
      </c>
      <c r="R2">
        <v>3</v>
      </c>
      <c r="S2">
        <v>0</v>
      </c>
      <c r="T2">
        <v>2</v>
      </c>
      <c r="U2">
        <v>0</v>
      </c>
      <c r="V2">
        <v>17</v>
      </c>
      <c r="W2">
        <v>2</v>
      </c>
      <c r="X2">
        <v>3</v>
      </c>
      <c r="Y2">
        <v>0</v>
      </c>
      <c r="Z2">
        <v>1</v>
      </c>
      <c r="AA2">
        <v>5</v>
      </c>
      <c r="AB2">
        <v>2</v>
      </c>
      <c r="AC2">
        <v>3</v>
      </c>
      <c r="AD2">
        <v>3</v>
      </c>
      <c r="AE2">
        <v>0</v>
      </c>
      <c r="AF2">
        <v>0</v>
      </c>
      <c r="AG2">
        <v>4</v>
      </c>
      <c r="AH2">
        <v>1</v>
      </c>
      <c r="AI2">
        <v>3</v>
      </c>
      <c r="AJ2">
        <v>0</v>
      </c>
      <c r="AK2">
        <v>2</v>
      </c>
      <c r="AL2">
        <v>0</v>
      </c>
      <c r="AM2">
        <v>0</v>
      </c>
      <c r="AN2">
        <v>0</v>
      </c>
      <c r="AO2">
        <v>1</v>
      </c>
      <c r="AP2">
        <v>5</v>
      </c>
      <c r="AQ2">
        <v>2</v>
      </c>
      <c r="AR2">
        <v>3</v>
      </c>
      <c r="AS2">
        <v>3</v>
      </c>
      <c r="AT2">
        <v>0</v>
      </c>
      <c r="AU2">
        <v>3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0.12</v>
      </c>
      <c r="BC2">
        <v>0</v>
      </c>
      <c r="BD2">
        <v>3</v>
      </c>
      <c r="BE2">
        <v>0</v>
      </c>
      <c r="BF2">
        <v>2</v>
      </c>
      <c r="BG2">
        <v>0</v>
      </c>
      <c r="BH2">
        <v>8</v>
      </c>
      <c r="BI2">
        <v>1</v>
      </c>
      <c r="BJ2">
        <v>2</v>
      </c>
      <c r="BK2">
        <v>0</v>
      </c>
      <c r="BL2">
        <v>1</v>
      </c>
      <c r="BM2">
        <v>1</v>
      </c>
      <c r="BN2">
        <v>34</v>
      </c>
      <c r="BO2">
        <v>28</v>
      </c>
      <c r="BP2">
        <v>2</v>
      </c>
      <c r="BQ2">
        <v>2</v>
      </c>
      <c r="BR2">
        <v>1</v>
      </c>
      <c r="BS2">
        <v>1</v>
      </c>
      <c r="BT2">
        <v>3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3</v>
      </c>
      <c r="CB2">
        <v>1</v>
      </c>
      <c r="CC2">
        <v>32</v>
      </c>
      <c r="CD2">
        <v>6</v>
      </c>
      <c r="CE2">
        <v>5</v>
      </c>
      <c r="CF2">
        <v>7</v>
      </c>
      <c r="CG2">
        <v>7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237</v>
      </c>
      <c r="F3">
        <v>48</v>
      </c>
      <c r="G3">
        <v>45</v>
      </c>
      <c r="H3">
        <v>26</v>
      </c>
      <c r="I3">
        <v>0</v>
      </c>
      <c r="J3">
        <v>0</v>
      </c>
      <c r="K3">
        <v>0</v>
      </c>
      <c r="L3">
        <v>0</v>
      </c>
      <c r="M3">
        <v>0</v>
      </c>
      <c r="N3">
        <v>30</v>
      </c>
      <c r="O3">
        <v>22</v>
      </c>
      <c r="P3">
        <v>2</v>
      </c>
      <c r="Q3">
        <v>1</v>
      </c>
      <c r="R3">
        <v>3</v>
      </c>
      <c r="S3">
        <v>0</v>
      </c>
      <c r="T3">
        <v>1</v>
      </c>
      <c r="U3">
        <v>1</v>
      </c>
      <c r="V3">
        <v>9</v>
      </c>
      <c r="W3">
        <v>4</v>
      </c>
      <c r="X3">
        <v>1</v>
      </c>
      <c r="Y3">
        <v>0</v>
      </c>
      <c r="Z3">
        <v>0</v>
      </c>
      <c r="AA3">
        <v>11</v>
      </c>
      <c r="AB3">
        <v>0</v>
      </c>
      <c r="AC3">
        <v>2</v>
      </c>
      <c r="AD3">
        <v>1</v>
      </c>
      <c r="AE3">
        <v>58</v>
      </c>
      <c r="AF3">
        <v>0</v>
      </c>
      <c r="AG3">
        <v>2</v>
      </c>
      <c r="AH3">
        <v>1</v>
      </c>
      <c r="AI3">
        <v>1</v>
      </c>
      <c r="AJ3">
        <v>0</v>
      </c>
      <c r="AK3">
        <v>3</v>
      </c>
      <c r="AL3">
        <v>1</v>
      </c>
      <c r="AM3">
        <v>0</v>
      </c>
      <c r="AN3">
        <v>0</v>
      </c>
      <c r="AO3">
        <v>0</v>
      </c>
      <c r="AP3">
        <v>11</v>
      </c>
      <c r="AQ3">
        <v>0</v>
      </c>
      <c r="AR3">
        <v>2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3</v>
      </c>
      <c r="BE3">
        <v>0</v>
      </c>
      <c r="BF3">
        <v>1</v>
      </c>
      <c r="BG3">
        <v>1</v>
      </c>
      <c r="BH3">
        <v>3</v>
      </c>
      <c r="BI3">
        <v>2</v>
      </c>
      <c r="BJ3">
        <v>3</v>
      </c>
      <c r="BK3">
        <v>1</v>
      </c>
      <c r="BL3">
        <v>2</v>
      </c>
      <c r="BM3">
        <v>1</v>
      </c>
      <c r="BN3">
        <v>30</v>
      </c>
      <c r="BO3">
        <v>22</v>
      </c>
      <c r="BP3">
        <v>2</v>
      </c>
      <c r="BQ3">
        <v>1</v>
      </c>
      <c r="BR3">
        <v>0</v>
      </c>
      <c r="BS3">
        <v>0</v>
      </c>
      <c r="BT3">
        <v>3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3</v>
      </c>
      <c r="CB3">
        <v>0</v>
      </c>
      <c r="CC3">
        <v>23</v>
      </c>
      <c r="CD3">
        <v>6</v>
      </c>
      <c r="CE3">
        <v>4</v>
      </c>
      <c r="CF3">
        <v>9</v>
      </c>
      <c r="CG3">
        <v>9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237</v>
      </c>
      <c r="F4">
        <v>65</v>
      </c>
      <c r="G4">
        <v>34</v>
      </c>
      <c r="H4">
        <v>21</v>
      </c>
      <c r="I4">
        <v>0</v>
      </c>
      <c r="J4">
        <v>0</v>
      </c>
      <c r="K4">
        <v>1</v>
      </c>
      <c r="L4">
        <v>1</v>
      </c>
      <c r="M4">
        <v>0.42</v>
      </c>
      <c r="N4">
        <v>20</v>
      </c>
      <c r="O4">
        <v>16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9</v>
      </c>
      <c r="W4">
        <v>4</v>
      </c>
      <c r="X4">
        <v>2</v>
      </c>
      <c r="Y4">
        <v>0</v>
      </c>
      <c r="Z4">
        <v>1</v>
      </c>
      <c r="AA4">
        <v>5</v>
      </c>
      <c r="AB4">
        <v>2</v>
      </c>
      <c r="AC4">
        <v>2</v>
      </c>
      <c r="AD4">
        <v>2</v>
      </c>
      <c r="AE4">
        <v>0</v>
      </c>
      <c r="AF4">
        <v>0</v>
      </c>
      <c r="AG4">
        <v>5</v>
      </c>
      <c r="AH4">
        <v>3</v>
      </c>
      <c r="AI4">
        <v>2</v>
      </c>
      <c r="AJ4">
        <v>0</v>
      </c>
      <c r="AK4">
        <v>0</v>
      </c>
      <c r="AL4">
        <v>0</v>
      </c>
      <c r="AM4">
        <v>0</v>
      </c>
      <c r="AN4">
        <v>0</v>
      </c>
      <c r="AO4">
        <v>1</v>
      </c>
      <c r="AP4">
        <v>5</v>
      </c>
      <c r="AQ4">
        <v>2</v>
      </c>
      <c r="AR4">
        <v>2</v>
      </c>
      <c r="AS4">
        <v>2</v>
      </c>
      <c r="AT4">
        <v>0</v>
      </c>
      <c r="AU4">
        <v>2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0.42</v>
      </c>
      <c r="BC4">
        <v>1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2</v>
      </c>
      <c r="BK4">
        <v>0</v>
      </c>
      <c r="BL4">
        <v>0</v>
      </c>
      <c r="BM4">
        <v>1</v>
      </c>
      <c r="BN4">
        <v>20</v>
      </c>
      <c r="BO4">
        <v>16</v>
      </c>
      <c r="BP4">
        <v>1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0.42</v>
      </c>
      <c r="BX4">
        <v>0</v>
      </c>
      <c r="BY4">
        <v>2</v>
      </c>
      <c r="BZ4">
        <v>1</v>
      </c>
      <c r="CA4">
        <v>0</v>
      </c>
      <c r="CB4">
        <v>0</v>
      </c>
      <c r="CC4">
        <v>16</v>
      </c>
      <c r="CD4">
        <v>5</v>
      </c>
      <c r="CE4">
        <v>3</v>
      </c>
      <c r="CF4">
        <v>6</v>
      </c>
      <c r="CG4">
        <v>5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237</v>
      </c>
      <c r="F5">
        <v>72</v>
      </c>
      <c r="G5">
        <v>59</v>
      </c>
      <c r="H5">
        <v>31</v>
      </c>
      <c r="I5">
        <v>1</v>
      </c>
      <c r="J5">
        <v>0</v>
      </c>
      <c r="K5">
        <v>3</v>
      </c>
      <c r="L5">
        <v>1</v>
      </c>
      <c r="M5">
        <v>0.8</v>
      </c>
      <c r="N5">
        <v>27</v>
      </c>
      <c r="O5">
        <v>21</v>
      </c>
      <c r="P5">
        <v>3</v>
      </c>
      <c r="Q5">
        <v>0</v>
      </c>
      <c r="R5">
        <v>1</v>
      </c>
      <c r="S5">
        <v>0</v>
      </c>
      <c r="T5">
        <v>4</v>
      </c>
      <c r="U5">
        <v>3</v>
      </c>
      <c r="V5">
        <v>18</v>
      </c>
      <c r="W5">
        <v>8</v>
      </c>
      <c r="X5">
        <v>2</v>
      </c>
      <c r="Y5">
        <v>1</v>
      </c>
      <c r="Z5">
        <v>1</v>
      </c>
      <c r="AA5">
        <v>10</v>
      </c>
      <c r="AB5">
        <v>2</v>
      </c>
      <c r="AC5">
        <v>4</v>
      </c>
      <c r="AD5">
        <v>2</v>
      </c>
      <c r="AE5">
        <v>0</v>
      </c>
      <c r="AF5">
        <v>0</v>
      </c>
      <c r="AG5">
        <v>7</v>
      </c>
      <c r="AH5">
        <v>2</v>
      </c>
      <c r="AI5">
        <v>2</v>
      </c>
      <c r="AJ5">
        <v>1</v>
      </c>
      <c r="AK5">
        <v>1</v>
      </c>
      <c r="AL5">
        <v>0</v>
      </c>
      <c r="AM5">
        <v>0</v>
      </c>
      <c r="AN5">
        <v>0</v>
      </c>
      <c r="AO5">
        <v>1</v>
      </c>
      <c r="AP5">
        <v>10</v>
      </c>
      <c r="AQ5">
        <v>2</v>
      </c>
      <c r="AR5">
        <v>4</v>
      </c>
      <c r="AS5">
        <v>2</v>
      </c>
      <c r="AT5">
        <v>1</v>
      </c>
      <c r="AU5">
        <v>4</v>
      </c>
      <c r="AV5">
        <v>0</v>
      </c>
      <c r="AW5">
        <v>0</v>
      </c>
      <c r="AX5">
        <v>1</v>
      </c>
      <c r="AY5">
        <v>0</v>
      </c>
      <c r="AZ5">
        <v>3</v>
      </c>
      <c r="BA5">
        <v>1</v>
      </c>
      <c r="BB5">
        <v>0.8</v>
      </c>
      <c r="BC5">
        <v>0</v>
      </c>
      <c r="BD5">
        <v>1</v>
      </c>
      <c r="BE5">
        <v>0</v>
      </c>
      <c r="BF5">
        <v>4</v>
      </c>
      <c r="BG5">
        <v>3</v>
      </c>
      <c r="BH5">
        <v>8</v>
      </c>
      <c r="BI5">
        <v>5</v>
      </c>
      <c r="BJ5">
        <v>3</v>
      </c>
      <c r="BK5">
        <v>0</v>
      </c>
      <c r="BL5">
        <v>1</v>
      </c>
      <c r="BM5">
        <v>2</v>
      </c>
      <c r="BN5">
        <v>27</v>
      </c>
      <c r="BO5">
        <v>21</v>
      </c>
      <c r="BP5">
        <v>3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3</v>
      </c>
      <c r="BZ5">
        <v>2</v>
      </c>
      <c r="CA5">
        <v>1</v>
      </c>
      <c r="CB5">
        <v>0</v>
      </c>
      <c r="CC5">
        <v>19</v>
      </c>
      <c r="CD5">
        <v>8</v>
      </c>
      <c r="CE5">
        <v>6</v>
      </c>
      <c r="CF5">
        <v>7</v>
      </c>
      <c r="CG5">
        <v>7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220</v>
      </c>
      <c r="F6">
        <v>59</v>
      </c>
      <c r="G6">
        <v>21</v>
      </c>
      <c r="H6">
        <v>7</v>
      </c>
      <c r="I6">
        <v>0</v>
      </c>
      <c r="J6">
        <v>0</v>
      </c>
      <c r="K6">
        <v>0</v>
      </c>
      <c r="L6">
        <v>0</v>
      </c>
      <c r="M6">
        <v>0</v>
      </c>
      <c r="N6">
        <v>9</v>
      </c>
      <c r="O6">
        <v>5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7</v>
      </c>
      <c r="W6">
        <v>2</v>
      </c>
      <c r="X6">
        <v>3</v>
      </c>
      <c r="Y6">
        <v>0</v>
      </c>
      <c r="Z6">
        <v>2</v>
      </c>
      <c r="AA6">
        <v>9</v>
      </c>
      <c r="AB6">
        <v>2</v>
      </c>
      <c r="AC6">
        <v>1</v>
      </c>
      <c r="AD6">
        <v>0</v>
      </c>
      <c r="AE6">
        <v>0</v>
      </c>
      <c r="AF6">
        <v>0</v>
      </c>
      <c r="AG6">
        <v>3</v>
      </c>
      <c r="AH6">
        <v>2</v>
      </c>
      <c r="AI6">
        <v>3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9</v>
      </c>
      <c r="AQ6">
        <v>2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9</v>
      </c>
      <c r="BO6">
        <v>5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1</v>
      </c>
      <c r="BZ6">
        <v>1</v>
      </c>
      <c r="CA6">
        <v>2</v>
      </c>
      <c r="CB6">
        <v>1</v>
      </c>
      <c r="CC6">
        <v>7</v>
      </c>
      <c r="CD6">
        <v>4</v>
      </c>
      <c r="CE6">
        <v>2</v>
      </c>
      <c r="CF6">
        <v>1</v>
      </c>
      <c r="CG6">
        <v>1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220</v>
      </c>
      <c r="F7">
        <v>21</v>
      </c>
      <c r="G7">
        <v>10</v>
      </c>
      <c r="H7">
        <v>6</v>
      </c>
      <c r="I7">
        <v>1</v>
      </c>
      <c r="J7">
        <v>0</v>
      </c>
      <c r="K7">
        <v>1</v>
      </c>
      <c r="L7">
        <v>1</v>
      </c>
      <c r="M7">
        <v>0.21</v>
      </c>
      <c r="N7">
        <v>5</v>
      </c>
      <c r="O7">
        <v>5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2</v>
      </c>
      <c r="W7">
        <v>0</v>
      </c>
      <c r="X7">
        <v>0</v>
      </c>
      <c r="Y7">
        <v>0</v>
      </c>
      <c r="Z7">
        <v>1</v>
      </c>
      <c r="AA7">
        <v>3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3</v>
      </c>
      <c r="AQ7">
        <v>1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1</v>
      </c>
      <c r="BA7">
        <v>1</v>
      </c>
      <c r="BB7">
        <v>0.21</v>
      </c>
      <c r="BC7">
        <v>0</v>
      </c>
      <c r="BD7">
        <v>0</v>
      </c>
      <c r="BE7">
        <v>0</v>
      </c>
      <c r="BF7">
        <v>1</v>
      </c>
      <c r="BG7">
        <v>0</v>
      </c>
      <c r="BH7">
        <v>2</v>
      </c>
      <c r="BI7">
        <v>0</v>
      </c>
      <c r="BJ7">
        <v>1</v>
      </c>
      <c r="BK7">
        <v>0</v>
      </c>
      <c r="BL7">
        <v>0</v>
      </c>
      <c r="BM7">
        <v>0</v>
      </c>
      <c r="BN7">
        <v>5</v>
      </c>
      <c r="BO7">
        <v>5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3</v>
      </c>
      <c r="CD7">
        <v>0</v>
      </c>
      <c r="CE7">
        <v>0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220</v>
      </c>
      <c r="F8">
        <v>71</v>
      </c>
      <c r="G8">
        <v>39</v>
      </c>
      <c r="H8">
        <v>16</v>
      </c>
      <c r="I8">
        <v>1</v>
      </c>
      <c r="J8">
        <v>0</v>
      </c>
      <c r="K8">
        <v>2</v>
      </c>
      <c r="L8">
        <v>1</v>
      </c>
      <c r="M8">
        <v>0.67</v>
      </c>
      <c r="N8">
        <v>20</v>
      </c>
      <c r="O8">
        <v>11</v>
      </c>
      <c r="P8">
        <v>5</v>
      </c>
      <c r="Q8">
        <v>1</v>
      </c>
      <c r="R8">
        <v>0</v>
      </c>
      <c r="S8">
        <v>0</v>
      </c>
      <c r="T8">
        <v>1</v>
      </c>
      <c r="U8">
        <v>0</v>
      </c>
      <c r="V8">
        <v>11</v>
      </c>
      <c r="W8">
        <v>4</v>
      </c>
      <c r="X8">
        <v>3</v>
      </c>
      <c r="Y8">
        <v>0</v>
      </c>
      <c r="Z8">
        <v>4</v>
      </c>
      <c r="AA8">
        <v>12</v>
      </c>
      <c r="AB8">
        <v>3</v>
      </c>
      <c r="AC8">
        <v>3</v>
      </c>
      <c r="AD8">
        <v>1</v>
      </c>
      <c r="AE8">
        <v>0</v>
      </c>
      <c r="AF8">
        <v>0</v>
      </c>
      <c r="AG8">
        <v>5</v>
      </c>
      <c r="AH8">
        <v>4</v>
      </c>
      <c r="AI8">
        <v>3</v>
      </c>
      <c r="AJ8">
        <v>0</v>
      </c>
      <c r="AK8">
        <v>1</v>
      </c>
      <c r="AL8">
        <v>0</v>
      </c>
      <c r="AM8">
        <v>0</v>
      </c>
      <c r="AN8">
        <v>0</v>
      </c>
      <c r="AO8">
        <v>4</v>
      </c>
      <c r="AP8">
        <v>12</v>
      </c>
      <c r="AQ8">
        <v>3</v>
      </c>
      <c r="AR8">
        <v>3</v>
      </c>
      <c r="AS8">
        <v>1</v>
      </c>
      <c r="AT8">
        <v>0</v>
      </c>
      <c r="AU8">
        <v>1</v>
      </c>
      <c r="AV8">
        <v>0</v>
      </c>
      <c r="AW8">
        <v>0</v>
      </c>
      <c r="AX8">
        <v>1</v>
      </c>
      <c r="AY8">
        <v>0</v>
      </c>
      <c r="AZ8">
        <v>2</v>
      </c>
      <c r="BA8">
        <v>1</v>
      </c>
      <c r="BB8">
        <v>0.67</v>
      </c>
      <c r="BC8">
        <v>1</v>
      </c>
      <c r="BD8">
        <v>0</v>
      </c>
      <c r="BE8">
        <v>0</v>
      </c>
      <c r="BF8">
        <v>1</v>
      </c>
      <c r="BG8">
        <v>0</v>
      </c>
      <c r="BH8">
        <v>2</v>
      </c>
      <c r="BI8">
        <v>0</v>
      </c>
      <c r="BJ8">
        <v>2</v>
      </c>
      <c r="BK8">
        <v>0</v>
      </c>
      <c r="BL8">
        <v>0</v>
      </c>
      <c r="BM8">
        <v>0</v>
      </c>
      <c r="BN8">
        <v>20</v>
      </c>
      <c r="BO8">
        <v>11</v>
      </c>
      <c r="BP8">
        <v>5</v>
      </c>
      <c r="BQ8">
        <v>1</v>
      </c>
      <c r="BR8">
        <v>1</v>
      </c>
      <c r="BS8">
        <v>0</v>
      </c>
      <c r="BT8">
        <v>0</v>
      </c>
      <c r="BU8">
        <v>0</v>
      </c>
      <c r="BV8">
        <v>0</v>
      </c>
      <c r="BW8">
        <v>0.4</v>
      </c>
      <c r="BX8">
        <v>0</v>
      </c>
      <c r="BY8">
        <v>7</v>
      </c>
      <c r="BZ8">
        <v>2</v>
      </c>
      <c r="CA8">
        <v>2</v>
      </c>
      <c r="CB8">
        <v>0</v>
      </c>
      <c r="CC8">
        <v>15</v>
      </c>
      <c r="CD8">
        <v>9</v>
      </c>
      <c r="CE8">
        <v>4</v>
      </c>
      <c r="CF8">
        <v>1</v>
      </c>
      <c r="CG8">
        <v>1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237</v>
      </c>
      <c r="F9">
        <v>57</v>
      </c>
      <c r="G9">
        <v>22</v>
      </c>
      <c r="H9">
        <v>11</v>
      </c>
      <c r="I9">
        <v>0</v>
      </c>
      <c r="J9">
        <v>0</v>
      </c>
      <c r="K9">
        <v>0</v>
      </c>
      <c r="L9">
        <v>0</v>
      </c>
      <c r="M9">
        <v>0</v>
      </c>
      <c r="N9">
        <v>16</v>
      </c>
      <c r="O9">
        <v>9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5</v>
      </c>
      <c r="W9">
        <v>2</v>
      </c>
      <c r="X9">
        <v>1</v>
      </c>
      <c r="Y9">
        <v>0</v>
      </c>
      <c r="Z9">
        <v>1</v>
      </c>
      <c r="AA9">
        <v>7</v>
      </c>
      <c r="AB9">
        <v>3</v>
      </c>
      <c r="AC9">
        <v>2</v>
      </c>
      <c r="AD9">
        <v>0</v>
      </c>
      <c r="AE9">
        <v>0</v>
      </c>
      <c r="AF9">
        <v>0</v>
      </c>
      <c r="AG9">
        <v>2</v>
      </c>
      <c r="AH9">
        <v>1</v>
      </c>
      <c r="AI9">
        <v>1</v>
      </c>
      <c r="AJ9">
        <v>0</v>
      </c>
      <c r="AK9">
        <v>1</v>
      </c>
      <c r="AL9">
        <v>1</v>
      </c>
      <c r="AM9">
        <v>0</v>
      </c>
      <c r="AN9">
        <v>0</v>
      </c>
      <c r="AO9">
        <v>1</v>
      </c>
      <c r="AP9">
        <v>7</v>
      </c>
      <c r="AQ9">
        <v>3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</v>
      </c>
      <c r="BE9">
        <v>1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16</v>
      </c>
      <c r="BO9">
        <v>9</v>
      </c>
      <c r="BP9">
        <v>1</v>
      </c>
      <c r="BQ9">
        <v>1</v>
      </c>
      <c r="BR9">
        <v>0</v>
      </c>
      <c r="BS9">
        <v>0</v>
      </c>
      <c r="BT9">
        <v>1</v>
      </c>
      <c r="BU9">
        <v>1</v>
      </c>
      <c r="BV9">
        <v>0</v>
      </c>
      <c r="BW9">
        <v>0</v>
      </c>
      <c r="BX9">
        <v>0</v>
      </c>
      <c r="BY9">
        <v>1</v>
      </c>
      <c r="BZ9">
        <v>1</v>
      </c>
      <c r="CA9">
        <v>3</v>
      </c>
      <c r="CB9">
        <v>1</v>
      </c>
      <c r="CC9">
        <v>14</v>
      </c>
      <c r="CD9">
        <v>6</v>
      </c>
      <c r="CE9">
        <v>4</v>
      </c>
      <c r="CF9">
        <v>1</v>
      </c>
      <c r="CG9">
        <v>1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237</v>
      </c>
      <c r="F10">
        <v>69</v>
      </c>
      <c r="G10">
        <v>48</v>
      </c>
      <c r="H10">
        <v>16</v>
      </c>
      <c r="I10">
        <v>0</v>
      </c>
      <c r="J10">
        <v>1</v>
      </c>
      <c r="K10">
        <v>1</v>
      </c>
      <c r="L10">
        <v>0</v>
      </c>
      <c r="M10">
        <v>7.0000000000000007E-2</v>
      </c>
      <c r="N10">
        <v>21</v>
      </c>
      <c r="O10">
        <v>11</v>
      </c>
      <c r="P10">
        <v>2</v>
      </c>
      <c r="Q10">
        <v>0</v>
      </c>
      <c r="R10">
        <v>1</v>
      </c>
      <c r="S10">
        <v>0</v>
      </c>
      <c r="T10">
        <v>0</v>
      </c>
      <c r="U10">
        <v>0</v>
      </c>
      <c r="V10">
        <v>17</v>
      </c>
      <c r="W10">
        <v>5</v>
      </c>
      <c r="X10">
        <v>6</v>
      </c>
      <c r="Y10">
        <v>1</v>
      </c>
      <c r="Z10">
        <v>1</v>
      </c>
      <c r="AA10">
        <v>17</v>
      </c>
      <c r="AB10">
        <v>2</v>
      </c>
      <c r="AC10">
        <v>6</v>
      </c>
      <c r="AD10">
        <v>6</v>
      </c>
      <c r="AE10">
        <v>0</v>
      </c>
      <c r="AF10">
        <v>0</v>
      </c>
      <c r="AG10">
        <v>6</v>
      </c>
      <c r="AH10">
        <v>3</v>
      </c>
      <c r="AI10">
        <v>6</v>
      </c>
      <c r="AJ10">
        <v>1</v>
      </c>
      <c r="AK10">
        <v>4</v>
      </c>
      <c r="AL10">
        <v>1</v>
      </c>
      <c r="AM10">
        <v>0</v>
      </c>
      <c r="AN10">
        <v>0</v>
      </c>
      <c r="AO10">
        <v>1</v>
      </c>
      <c r="AP10">
        <v>17</v>
      </c>
      <c r="AQ10">
        <v>2</v>
      </c>
      <c r="AR10">
        <v>6</v>
      </c>
      <c r="AS10">
        <v>6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1</v>
      </c>
      <c r="AZ10">
        <v>1</v>
      </c>
      <c r="BA10">
        <v>0</v>
      </c>
      <c r="BB10">
        <v>7.0000000000000007E-2</v>
      </c>
      <c r="BC10">
        <v>1</v>
      </c>
      <c r="BD10">
        <v>1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3</v>
      </c>
      <c r="BK10">
        <v>1</v>
      </c>
      <c r="BL10">
        <v>0</v>
      </c>
      <c r="BM10">
        <v>0</v>
      </c>
      <c r="BN10">
        <v>21</v>
      </c>
      <c r="BO10">
        <v>11</v>
      </c>
      <c r="BP10">
        <v>2</v>
      </c>
      <c r="BQ10">
        <v>0</v>
      </c>
      <c r="BR10">
        <v>1</v>
      </c>
      <c r="BS10">
        <v>0</v>
      </c>
      <c r="BT10">
        <v>1</v>
      </c>
      <c r="BU10">
        <v>0</v>
      </c>
      <c r="BV10">
        <v>1</v>
      </c>
      <c r="BW10">
        <v>0.26</v>
      </c>
      <c r="BX10">
        <v>0</v>
      </c>
      <c r="BY10">
        <v>4</v>
      </c>
      <c r="BZ10">
        <v>1</v>
      </c>
      <c r="CA10">
        <v>2</v>
      </c>
      <c r="CB10">
        <v>1</v>
      </c>
      <c r="CC10">
        <v>12</v>
      </c>
      <c r="CD10">
        <v>7</v>
      </c>
      <c r="CE10">
        <v>3</v>
      </c>
      <c r="CF10">
        <v>4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221</v>
      </c>
      <c r="F11">
        <v>14</v>
      </c>
      <c r="G11">
        <v>5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</v>
      </c>
      <c r="W11">
        <v>0</v>
      </c>
      <c r="X11">
        <v>0</v>
      </c>
      <c r="Y11">
        <v>0</v>
      </c>
      <c r="Z11">
        <v>0</v>
      </c>
      <c r="AA11">
        <v>3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0</v>
      </c>
      <c r="AP11">
        <v>3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</v>
      </c>
      <c r="BO11">
        <v>1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</v>
      </c>
      <c r="CD11">
        <v>0</v>
      </c>
      <c r="CE11">
        <v>0</v>
      </c>
      <c r="CF11">
        <v>0</v>
      </c>
      <c r="CG11">
        <v>0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220</v>
      </c>
      <c r="F12">
        <v>67</v>
      </c>
      <c r="G12">
        <v>21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17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1</v>
      </c>
      <c r="X12">
        <v>2</v>
      </c>
      <c r="Y12">
        <v>0</v>
      </c>
      <c r="Z12">
        <v>0</v>
      </c>
      <c r="AA12">
        <v>9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1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9</v>
      </c>
      <c r="AQ12">
        <v>2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1</v>
      </c>
      <c r="BM12">
        <v>0</v>
      </c>
      <c r="BN12">
        <v>17</v>
      </c>
      <c r="BO12">
        <v>9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6</v>
      </c>
      <c r="CB12">
        <v>2</v>
      </c>
      <c r="CC12">
        <v>12</v>
      </c>
      <c r="CD12">
        <v>7</v>
      </c>
      <c r="CE12">
        <v>3</v>
      </c>
      <c r="CF12">
        <v>4</v>
      </c>
      <c r="CG12">
        <v>4</v>
      </c>
    </row>
    <row r="13" spans="1:85" x14ac:dyDescent="0.15">
      <c r="A13" t="s">
        <v>64</v>
      </c>
      <c r="B13" t="s">
        <v>75</v>
      </c>
      <c r="C13" t="s">
        <v>32</v>
      </c>
      <c r="D13" t="s">
        <v>87</v>
      </c>
      <c r="E13" t="s">
        <v>243</v>
      </c>
      <c r="F13">
        <v>94</v>
      </c>
      <c r="G13">
        <v>54</v>
      </c>
      <c r="H13">
        <v>32</v>
      </c>
      <c r="I13">
        <v>0</v>
      </c>
      <c r="J13">
        <v>1</v>
      </c>
      <c r="K13">
        <v>3</v>
      </c>
      <c r="L13">
        <v>0</v>
      </c>
      <c r="M13">
        <v>0.45</v>
      </c>
      <c r="N13">
        <v>39</v>
      </c>
      <c r="O13">
        <v>30</v>
      </c>
      <c r="P13">
        <v>2</v>
      </c>
      <c r="Q13">
        <v>1</v>
      </c>
      <c r="R13">
        <v>1</v>
      </c>
      <c r="S13">
        <v>0</v>
      </c>
      <c r="T13">
        <v>1</v>
      </c>
      <c r="U13">
        <v>1</v>
      </c>
      <c r="V13">
        <v>10</v>
      </c>
      <c r="W13">
        <v>2</v>
      </c>
      <c r="X13">
        <v>0</v>
      </c>
      <c r="Y13">
        <v>0</v>
      </c>
      <c r="Z13">
        <v>1</v>
      </c>
      <c r="AA13">
        <v>11</v>
      </c>
      <c r="AB13">
        <v>1</v>
      </c>
      <c r="AC13">
        <v>3</v>
      </c>
      <c r="AD13">
        <v>3</v>
      </c>
      <c r="AE13">
        <v>0</v>
      </c>
      <c r="AF13">
        <v>0</v>
      </c>
      <c r="AG13">
        <v>3</v>
      </c>
      <c r="AH13">
        <v>1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1</v>
      </c>
      <c r="AP13">
        <v>11</v>
      </c>
      <c r="AQ13">
        <v>1</v>
      </c>
      <c r="AR13">
        <v>3</v>
      </c>
      <c r="AS13">
        <v>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3</v>
      </c>
      <c r="BA13">
        <v>0</v>
      </c>
      <c r="BB13">
        <v>0.45</v>
      </c>
      <c r="BC13">
        <v>2</v>
      </c>
      <c r="BD13">
        <v>1</v>
      </c>
      <c r="BE13">
        <v>0</v>
      </c>
      <c r="BF13">
        <v>1</v>
      </c>
      <c r="BG13">
        <v>1</v>
      </c>
      <c r="BH13">
        <v>5</v>
      </c>
      <c r="BI13">
        <v>1</v>
      </c>
      <c r="BJ13">
        <v>5</v>
      </c>
      <c r="BK13">
        <v>1</v>
      </c>
      <c r="BL13">
        <v>1</v>
      </c>
      <c r="BM13">
        <v>0</v>
      </c>
      <c r="BN13">
        <v>39</v>
      </c>
      <c r="BO13">
        <v>30</v>
      </c>
      <c r="BP13">
        <v>2</v>
      </c>
      <c r="BQ13">
        <v>1</v>
      </c>
      <c r="BR13">
        <v>2</v>
      </c>
      <c r="BS13">
        <v>1</v>
      </c>
      <c r="BT13">
        <v>1</v>
      </c>
      <c r="BU13">
        <v>0</v>
      </c>
      <c r="BV13">
        <v>1</v>
      </c>
      <c r="BW13">
        <v>0.73</v>
      </c>
      <c r="BX13">
        <v>0</v>
      </c>
      <c r="BY13">
        <v>3</v>
      </c>
      <c r="BZ13">
        <v>1</v>
      </c>
      <c r="CA13">
        <v>4</v>
      </c>
      <c r="CB13">
        <v>2</v>
      </c>
      <c r="CC13">
        <v>26</v>
      </c>
      <c r="CD13">
        <v>9</v>
      </c>
      <c r="CE13">
        <v>6</v>
      </c>
      <c r="CF13">
        <v>5</v>
      </c>
      <c r="CG13">
        <v>4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221</v>
      </c>
      <c r="F14">
        <v>76</v>
      </c>
      <c r="G14">
        <v>41</v>
      </c>
      <c r="H14">
        <v>23</v>
      </c>
      <c r="I14">
        <v>0</v>
      </c>
      <c r="J14">
        <v>0</v>
      </c>
      <c r="K14">
        <v>0</v>
      </c>
      <c r="L14">
        <v>0</v>
      </c>
      <c r="M14">
        <v>0.09</v>
      </c>
      <c r="N14">
        <v>25</v>
      </c>
      <c r="O14">
        <v>18</v>
      </c>
      <c r="P14">
        <v>5</v>
      </c>
      <c r="Q14">
        <v>3</v>
      </c>
      <c r="R14">
        <v>0</v>
      </c>
      <c r="S14">
        <v>0</v>
      </c>
      <c r="T14">
        <v>0</v>
      </c>
      <c r="U14">
        <v>0</v>
      </c>
      <c r="V14">
        <v>9</v>
      </c>
      <c r="W14">
        <v>5</v>
      </c>
      <c r="X14">
        <v>2</v>
      </c>
      <c r="Y14">
        <v>1</v>
      </c>
      <c r="Z14">
        <v>4</v>
      </c>
      <c r="AA14">
        <v>12</v>
      </c>
      <c r="AB14">
        <v>2</v>
      </c>
      <c r="AC14">
        <v>5</v>
      </c>
      <c r="AD14">
        <v>3</v>
      </c>
      <c r="AE14">
        <v>0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1</v>
      </c>
      <c r="AL14">
        <v>0</v>
      </c>
      <c r="AM14">
        <v>0</v>
      </c>
      <c r="AN14">
        <v>0</v>
      </c>
      <c r="AO14">
        <v>4</v>
      </c>
      <c r="AP14">
        <v>12</v>
      </c>
      <c r="AQ14">
        <v>2</v>
      </c>
      <c r="AR14">
        <v>5</v>
      </c>
      <c r="AS14">
        <v>3</v>
      </c>
      <c r="AT14">
        <v>3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0</v>
      </c>
      <c r="BM14">
        <v>2</v>
      </c>
      <c r="BN14">
        <v>25</v>
      </c>
      <c r="BO14">
        <v>18</v>
      </c>
      <c r="BP14">
        <v>5</v>
      </c>
      <c r="BQ14">
        <v>3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0.09</v>
      </c>
      <c r="BX14">
        <v>0</v>
      </c>
      <c r="BY14">
        <v>6</v>
      </c>
      <c r="BZ14">
        <v>3</v>
      </c>
      <c r="CA14">
        <v>0</v>
      </c>
      <c r="CB14">
        <v>0</v>
      </c>
      <c r="CC14">
        <v>18</v>
      </c>
      <c r="CD14">
        <v>8</v>
      </c>
      <c r="CE14">
        <v>2</v>
      </c>
      <c r="CF14">
        <v>3</v>
      </c>
      <c r="CG14">
        <v>3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220</v>
      </c>
      <c r="F15">
        <v>13</v>
      </c>
      <c r="G15">
        <v>6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2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2</v>
      </c>
      <c r="W15">
        <v>0</v>
      </c>
      <c r="X15">
        <v>1</v>
      </c>
      <c r="Y15">
        <v>0</v>
      </c>
      <c r="Z15">
        <v>0</v>
      </c>
      <c r="AA15">
        <v>3</v>
      </c>
      <c r="AB15">
        <v>2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3</v>
      </c>
      <c r="AQ15">
        <v>2</v>
      </c>
      <c r="AR15">
        <v>0</v>
      </c>
      <c r="AS15">
        <v>0</v>
      </c>
      <c r="AT15">
        <v>0</v>
      </c>
      <c r="AU15">
        <v>2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2</v>
      </c>
      <c r="BO15">
        <v>1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</v>
      </c>
      <c r="CD15">
        <v>0</v>
      </c>
      <c r="CE15">
        <v>0</v>
      </c>
      <c r="CF15">
        <v>1</v>
      </c>
      <c r="CG15">
        <v>1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G16"/>
  <sheetViews>
    <sheetView workbookViewId="0">
      <selection activeCell="A15" sqref="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96</v>
      </c>
      <c r="B2" t="s">
        <v>92</v>
      </c>
      <c r="C2" t="s">
        <v>32</v>
      </c>
      <c r="D2">
        <v>46158</v>
      </c>
      <c r="E2" t="s">
        <v>244</v>
      </c>
      <c r="F2">
        <v>45</v>
      </c>
      <c r="G2">
        <v>23</v>
      </c>
      <c r="H2">
        <v>13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10</v>
      </c>
      <c r="P2">
        <v>4</v>
      </c>
      <c r="Q2">
        <v>0</v>
      </c>
      <c r="R2">
        <v>0</v>
      </c>
      <c r="S2">
        <v>0</v>
      </c>
      <c r="T2">
        <v>0</v>
      </c>
      <c r="U2">
        <v>0</v>
      </c>
      <c r="V2">
        <v>7</v>
      </c>
      <c r="W2">
        <v>3</v>
      </c>
      <c r="X2">
        <v>2</v>
      </c>
      <c r="Y2">
        <v>0</v>
      </c>
      <c r="Z2">
        <v>0</v>
      </c>
      <c r="AA2">
        <v>5</v>
      </c>
      <c r="AB2">
        <v>0</v>
      </c>
      <c r="AC2">
        <v>2</v>
      </c>
      <c r="AD2">
        <v>1</v>
      </c>
      <c r="AE2">
        <v>0</v>
      </c>
      <c r="AF2">
        <v>0</v>
      </c>
      <c r="AG2">
        <v>2</v>
      </c>
      <c r="AH2">
        <v>1</v>
      </c>
      <c r="AI2">
        <v>2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5</v>
      </c>
      <c r="AQ2">
        <v>0</v>
      </c>
      <c r="AR2">
        <v>2</v>
      </c>
      <c r="AS2">
        <v>1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2</v>
      </c>
      <c r="BJ2">
        <v>1</v>
      </c>
      <c r="BK2">
        <v>0</v>
      </c>
      <c r="BL2">
        <v>0</v>
      </c>
      <c r="BM2">
        <v>1</v>
      </c>
      <c r="BN2">
        <v>15</v>
      </c>
      <c r="BO2">
        <v>10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3</v>
      </c>
      <c r="CB2">
        <v>1</v>
      </c>
      <c r="CC2">
        <v>10</v>
      </c>
      <c r="CD2">
        <v>3</v>
      </c>
      <c r="CE2">
        <v>2</v>
      </c>
      <c r="CF2">
        <v>2</v>
      </c>
      <c r="CG2">
        <v>2</v>
      </c>
    </row>
    <row r="3" spans="1:85" x14ac:dyDescent="0.15">
      <c r="A3" t="s">
        <v>90</v>
      </c>
      <c r="B3" t="s">
        <v>98</v>
      </c>
      <c r="C3" t="s">
        <v>32</v>
      </c>
      <c r="D3">
        <v>46151</v>
      </c>
      <c r="E3" t="s">
        <v>220</v>
      </c>
      <c r="F3">
        <v>47</v>
      </c>
      <c r="G3">
        <v>19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8</v>
      </c>
      <c r="O3">
        <v>4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3</v>
      </c>
      <c r="X3">
        <v>8</v>
      </c>
      <c r="Y3">
        <v>2</v>
      </c>
      <c r="Z3">
        <v>0</v>
      </c>
      <c r="AA3">
        <v>5</v>
      </c>
      <c r="AB3">
        <v>1</v>
      </c>
      <c r="AC3">
        <v>2</v>
      </c>
      <c r="AD3">
        <v>1</v>
      </c>
      <c r="AE3">
        <v>0</v>
      </c>
      <c r="AF3">
        <v>0</v>
      </c>
      <c r="AG3">
        <v>0</v>
      </c>
      <c r="AH3">
        <v>0</v>
      </c>
      <c r="AI3">
        <v>8</v>
      </c>
      <c r="AJ3">
        <v>2</v>
      </c>
      <c r="AK3">
        <v>1</v>
      </c>
      <c r="AL3">
        <v>1</v>
      </c>
      <c r="AM3">
        <v>0</v>
      </c>
      <c r="AN3">
        <v>0</v>
      </c>
      <c r="AO3">
        <v>0</v>
      </c>
      <c r="AP3">
        <v>5</v>
      </c>
      <c r="AQ3">
        <v>1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1</v>
      </c>
      <c r="BL3">
        <v>0</v>
      </c>
      <c r="BM3">
        <v>1</v>
      </c>
      <c r="BN3">
        <v>8</v>
      </c>
      <c r="BO3">
        <v>4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3</v>
      </c>
      <c r="CD3">
        <v>3</v>
      </c>
      <c r="CE3">
        <v>1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>
        <v>46144</v>
      </c>
      <c r="E4" t="s">
        <v>220</v>
      </c>
      <c r="F4">
        <v>27</v>
      </c>
      <c r="G4">
        <v>16</v>
      </c>
      <c r="H4">
        <v>10</v>
      </c>
      <c r="I4">
        <v>0</v>
      </c>
      <c r="J4">
        <v>0</v>
      </c>
      <c r="K4">
        <v>0</v>
      </c>
      <c r="L4">
        <v>0</v>
      </c>
      <c r="M4">
        <v>0</v>
      </c>
      <c r="N4">
        <v>8</v>
      </c>
      <c r="O4">
        <v>8</v>
      </c>
      <c r="P4">
        <v>0</v>
      </c>
      <c r="Q4">
        <v>0</v>
      </c>
      <c r="R4">
        <v>1</v>
      </c>
      <c r="S4">
        <v>1</v>
      </c>
      <c r="T4">
        <v>2</v>
      </c>
      <c r="U4">
        <v>1</v>
      </c>
      <c r="V4">
        <v>4</v>
      </c>
      <c r="W4">
        <v>2</v>
      </c>
      <c r="X4">
        <v>0</v>
      </c>
      <c r="Y4">
        <v>0</v>
      </c>
      <c r="Z4">
        <v>1</v>
      </c>
      <c r="AA4">
        <v>2</v>
      </c>
      <c r="AB4">
        <v>0</v>
      </c>
      <c r="AC4">
        <v>1</v>
      </c>
      <c r="AD4">
        <v>1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2</v>
      </c>
      <c r="AQ4">
        <v>0</v>
      </c>
      <c r="AR4">
        <v>1</v>
      </c>
      <c r="AS4">
        <v>1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2</v>
      </c>
      <c r="BG4">
        <v>1</v>
      </c>
      <c r="BH4">
        <v>2</v>
      </c>
      <c r="BI4">
        <v>1</v>
      </c>
      <c r="BJ4">
        <v>0</v>
      </c>
      <c r="BK4">
        <v>1</v>
      </c>
      <c r="BL4">
        <v>1</v>
      </c>
      <c r="BM4">
        <v>0</v>
      </c>
      <c r="BN4">
        <v>8</v>
      </c>
      <c r="BO4">
        <v>8</v>
      </c>
      <c r="BP4">
        <v>0</v>
      </c>
      <c r="BQ4">
        <v>0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1</v>
      </c>
      <c r="CC4">
        <v>4</v>
      </c>
      <c r="CD4">
        <v>0</v>
      </c>
      <c r="CE4">
        <v>0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>
        <v>46137</v>
      </c>
      <c r="E5" t="s">
        <v>237</v>
      </c>
      <c r="F5">
        <v>24</v>
      </c>
      <c r="G5">
        <v>17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9</v>
      </c>
      <c r="O5">
        <v>4</v>
      </c>
      <c r="P5">
        <v>0</v>
      </c>
      <c r="Q5">
        <v>0</v>
      </c>
      <c r="R5">
        <v>1</v>
      </c>
      <c r="S5">
        <v>0</v>
      </c>
      <c r="T5">
        <v>1</v>
      </c>
      <c r="U5">
        <v>1</v>
      </c>
      <c r="V5">
        <v>8</v>
      </c>
      <c r="W5">
        <v>4</v>
      </c>
      <c r="X5">
        <v>2</v>
      </c>
      <c r="Y5">
        <v>1</v>
      </c>
      <c r="Z5">
        <v>0</v>
      </c>
      <c r="AA5">
        <v>6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1</v>
      </c>
      <c r="AI5">
        <v>2</v>
      </c>
      <c r="AJ5">
        <v>1</v>
      </c>
      <c r="AK5">
        <v>2</v>
      </c>
      <c r="AL5">
        <v>0</v>
      </c>
      <c r="AM5">
        <v>0</v>
      </c>
      <c r="AN5">
        <v>0</v>
      </c>
      <c r="AO5">
        <v>0</v>
      </c>
      <c r="AP5">
        <v>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1</v>
      </c>
      <c r="BE5">
        <v>0</v>
      </c>
      <c r="BF5">
        <v>1</v>
      </c>
      <c r="BG5">
        <v>1</v>
      </c>
      <c r="BH5">
        <v>2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4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0.02</v>
      </c>
      <c r="BX5">
        <v>0</v>
      </c>
      <c r="BY5">
        <v>1</v>
      </c>
      <c r="BZ5">
        <v>0</v>
      </c>
      <c r="CA5">
        <v>4</v>
      </c>
      <c r="CB5">
        <v>1</v>
      </c>
      <c r="CC5">
        <v>7</v>
      </c>
      <c r="CD5">
        <v>3</v>
      </c>
      <c r="CE5">
        <v>2</v>
      </c>
      <c r="CF5">
        <v>0</v>
      </c>
      <c r="CG5">
        <v>0</v>
      </c>
    </row>
    <row r="6" spans="1:85" x14ac:dyDescent="0.15">
      <c r="A6" t="s">
        <v>86</v>
      </c>
      <c r="B6" t="s">
        <v>88</v>
      </c>
      <c r="C6" t="s">
        <v>32</v>
      </c>
      <c r="D6">
        <v>46130</v>
      </c>
      <c r="E6" t="s">
        <v>245</v>
      </c>
      <c r="F6">
        <v>87</v>
      </c>
      <c r="G6">
        <v>41</v>
      </c>
      <c r="H6">
        <v>12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8</v>
      </c>
      <c r="P6">
        <v>3</v>
      </c>
      <c r="Q6">
        <v>0</v>
      </c>
      <c r="R6">
        <v>0</v>
      </c>
      <c r="S6">
        <v>0</v>
      </c>
      <c r="T6">
        <v>1</v>
      </c>
      <c r="U6">
        <v>0</v>
      </c>
      <c r="V6">
        <v>18</v>
      </c>
      <c r="W6">
        <v>4</v>
      </c>
      <c r="X6">
        <v>10</v>
      </c>
      <c r="Y6">
        <v>1</v>
      </c>
      <c r="Z6">
        <v>0</v>
      </c>
      <c r="AA6">
        <v>13</v>
      </c>
      <c r="AB6">
        <v>2</v>
      </c>
      <c r="AC6">
        <v>2</v>
      </c>
      <c r="AD6">
        <v>2</v>
      </c>
      <c r="AE6">
        <v>0</v>
      </c>
      <c r="AF6">
        <v>0</v>
      </c>
      <c r="AG6">
        <v>2</v>
      </c>
      <c r="AH6">
        <v>1</v>
      </c>
      <c r="AI6">
        <v>10</v>
      </c>
      <c r="AJ6">
        <v>1</v>
      </c>
      <c r="AK6">
        <v>5</v>
      </c>
      <c r="AL6">
        <v>2</v>
      </c>
      <c r="AM6">
        <v>0</v>
      </c>
      <c r="AN6">
        <v>0</v>
      </c>
      <c r="AO6">
        <v>0</v>
      </c>
      <c r="AP6">
        <v>13</v>
      </c>
      <c r="AQ6">
        <v>2</v>
      </c>
      <c r="AR6">
        <v>2</v>
      </c>
      <c r="AS6">
        <v>2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8</v>
      </c>
      <c r="BP6">
        <v>3</v>
      </c>
      <c r="BQ6">
        <v>0</v>
      </c>
      <c r="BR6">
        <v>2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2</v>
      </c>
      <c r="BZ6">
        <v>0</v>
      </c>
      <c r="CA6">
        <v>1</v>
      </c>
      <c r="CB6">
        <v>0</v>
      </c>
      <c r="CC6">
        <v>10</v>
      </c>
      <c r="CD6">
        <v>5</v>
      </c>
      <c r="CE6">
        <v>0</v>
      </c>
      <c r="CF6">
        <v>1</v>
      </c>
      <c r="CG6">
        <v>0</v>
      </c>
    </row>
    <row r="7" spans="1:85" x14ac:dyDescent="0.15">
      <c r="A7" t="s">
        <v>29</v>
      </c>
      <c r="B7" t="s">
        <v>31</v>
      </c>
      <c r="C7" t="s">
        <v>32</v>
      </c>
      <c r="D7">
        <v>46123</v>
      </c>
      <c r="E7" t="s">
        <v>230</v>
      </c>
      <c r="F7">
        <v>37</v>
      </c>
      <c r="G7">
        <v>36</v>
      </c>
      <c r="H7">
        <v>20</v>
      </c>
      <c r="I7">
        <v>0</v>
      </c>
      <c r="J7">
        <v>0</v>
      </c>
      <c r="K7">
        <v>1</v>
      </c>
      <c r="L7">
        <v>0</v>
      </c>
      <c r="M7">
        <v>0.03</v>
      </c>
      <c r="N7">
        <v>12</v>
      </c>
      <c r="O7">
        <v>11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16</v>
      </c>
      <c r="W7">
        <v>9</v>
      </c>
      <c r="X7">
        <v>4</v>
      </c>
      <c r="Y7">
        <v>2</v>
      </c>
      <c r="Z7">
        <v>2</v>
      </c>
      <c r="AA7">
        <v>8</v>
      </c>
      <c r="AB7">
        <v>3</v>
      </c>
      <c r="AC7">
        <v>3</v>
      </c>
      <c r="AD7">
        <v>1</v>
      </c>
      <c r="AE7">
        <v>0</v>
      </c>
      <c r="AF7">
        <v>0</v>
      </c>
      <c r="AG7">
        <v>8</v>
      </c>
      <c r="AH7">
        <v>5</v>
      </c>
      <c r="AI7">
        <v>4</v>
      </c>
      <c r="AJ7">
        <v>2</v>
      </c>
      <c r="AK7">
        <v>2</v>
      </c>
      <c r="AL7">
        <v>1</v>
      </c>
      <c r="AM7">
        <v>1</v>
      </c>
      <c r="AN7">
        <v>1</v>
      </c>
      <c r="AO7">
        <v>2</v>
      </c>
      <c r="AP7">
        <v>8</v>
      </c>
      <c r="AQ7">
        <v>3</v>
      </c>
      <c r="AR7">
        <v>3</v>
      </c>
      <c r="AS7">
        <v>1</v>
      </c>
      <c r="AT7">
        <v>3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0.03</v>
      </c>
      <c r="BC7">
        <v>0</v>
      </c>
      <c r="BD7">
        <v>0</v>
      </c>
      <c r="BE7">
        <v>0</v>
      </c>
      <c r="BF7">
        <v>0</v>
      </c>
      <c r="BG7">
        <v>0</v>
      </c>
      <c r="BH7">
        <v>2</v>
      </c>
      <c r="BI7">
        <v>1</v>
      </c>
      <c r="BJ7">
        <v>1</v>
      </c>
      <c r="BK7">
        <v>0</v>
      </c>
      <c r="BL7">
        <v>1</v>
      </c>
      <c r="BM7">
        <v>0</v>
      </c>
      <c r="BN7">
        <v>12</v>
      </c>
      <c r="BO7">
        <v>11</v>
      </c>
      <c r="BP7">
        <v>1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10</v>
      </c>
      <c r="CD7">
        <v>4</v>
      </c>
      <c r="CE7">
        <v>4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>
        <v>46116</v>
      </c>
      <c r="E8" t="s">
        <v>220</v>
      </c>
      <c r="F8">
        <v>26</v>
      </c>
      <c r="G8">
        <v>14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4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8</v>
      </c>
      <c r="W8">
        <v>2</v>
      </c>
      <c r="X8">
        <v>1</v>
      </c>
      <c r="Y8">
        <v>0</v>
      </c>
      <c r="Z8">
        <v>1</v>
      </c>
      <c r="AA8">
        <v>4</v>
      </c>
      <c r="AB8">
        <v>2</v>
      </c>
      <c r="AC8">
        <v>0</v>
      </c>
      <c r="AD8">
        <v>0</v>
      </c>
      <c r="AE8">
        <v>0</v>
      </c>
      <c r="AF8">
        <v>0</v>
      </c>
      <c r="AG8">
        <v>2</v>
      </c>
      <c r="AH8">
        <v>1</v>
      </c>
      <c r="AI8">
        <v>1</v>
      </c>
      <c r="AJ8">
        <v>0</v>
      </c>
      <c r="AK8">
        <v>2</v>
      </c>
      <c r="AL8">
        <v>0</v>
      </c>
      <c r="AM8">
        <v>0</v>
      </c>
      <c r="AN8">
        <v>0</v>
      </c>
      <c r="AO8">
        <v>1</v>
      </c>
      <c r="AP8">
        <v>4</v>
      </c>
      <c r="AQ8">
        <v>2</v>
      </c>
      <c r="AR8">
        <v>0</v>
      </c>
      <c r="AS8">
        <v>0</v>
      </c>
      <c r="AT8">
        <v>2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3</v>
      </c>
      <c r="BI8">
        <v>1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1</v>
      </c>
      <c r="CD8">
        <v>2</v>
      </c>
      <c r="CE8">
        <v>1</v>
      </c>
      <c r="CF8">
        <v>1</v>
      </c>
      <c r="CG8">
        <v>0</v>
      </c>
    </row>
    <row r="9" spans="1:85" x14ac:dyDescent="0.15">
      <c r="A9" t="s">
        <v>42</v>
      </c>
      <c r="B9" t="s">
        <v>44</v>
      </c>
      <c r="C9" t="s">
        <v>32</v>
      </c>
      <c r="D9">
        <v>46110</v>
      </c>
      <c r="E9" t="s">
        <v>220</v>
      </c>
      <c r="F9">
        <v>57</v>
      </c>
      <c r="G9">
        <v>39</v>
      </c>
      <c r="H9">
        <v>24</v>
      </c>
      <c r="I9">
        <v>0</v>
      </c>
      <c r="J9">
        <v>0</v>
      </c>
      <c r="K9">
        <v>2</v>
      </c>
      <c r="L9">
        <v>1</v>
      </c>
      <c r="M9">
        <v>0.79</v>
      </c>
      <c r="N9">
        <v>16</v>
      </c>
      <c r="O9">
        <v>10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20</v>
      </c>
      <c r="W9">
        <v>13</v>
      </c>
      <c r="X9">
        <v>8</v>
      </c>
      <c r="Y9">
        <v>6</v>
      </c>
      <c r="Z9">
        <v>0</v>
      </c>
      <c r="AA9">
        <v>11</v>
      </c>
      <c r="AB9">
        <v>2</v>
      </c>
      <c r="AC9">
        <v>3</v>
      </c>
      <c r="AD9">
        <v>1</v>
      </c>
      <c r="AE9">
        <v>0</v>
      </c>
      <c r="AF9">
        <v>0</v>
      </c>
      <c r="AG9">
        <v>5</v>
      </c>
      <c r="AH9">
        <v>5</v>
      </c>
      <c r="AI9">
        <v>8</v>
      </c>
      <c r="AJ9">
        <v>6</v>
      </c>
      <c r="AK9">
        <v>3</v>
      </c>
      <c r="AL9">
        <v>1</v>
      </c>
      <c r="AM9">
        <v>0</v>
      </c>
      <c r="AN9">
        <v>0</v>
      </c>
      <c r="AO9">
        <v>0</v>
      </c>
      <c r="AP9">
        <v>11</v>
      </c>
      <c r="AQ9">
        <v>2</v>
      </c>
      <c r="AR9">
        <v>3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</v>
      </c>
      <c r="BA9">
        <v>1</v>
      </c>
      <c r="BB9">
        <v>0.79</v>
      </c>
      <c r="BC9">
        <v>0</v>
      </c>
      <c r="BD9">
        <v>1</v>
      </c>
      <c r="BE9">
        <v>0</v>
      </c>
      <c r="BF9">
        <v>0</v>
      </c>
      <c r="BG9">
        <v>0</v>
      </c>
      <c r="BH9">
        <v>4</v>
      </c>
      <c r="BI9">
        <v>1</v>
      </c>
      <c r="BJ9">
        <v>3</v>
      </c>
      <c r="BK9">
        <v>1</v>
      </c>
      <c r="BL9">
        <v>0</v>
      </c>
      <c r="BM9">
        <v>1</v>
      </c>
      <c r="BN9">
        <v>16</v>
      </c>
      <c r="BO9">
        <v>10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0</v>
      </c>
      <c r="CB9">
        <v>0</v>
      </c>
      <c r="CC9">
        <v>12</v>
      </c>
      <c r="CD9">
        <v>2</v>
      </c>
      <c r="CE9">
        <v>0</v>
      </c>
      <c r="CF9">
        <v>2</v>
      </c>
      <c r="CG9">
        <v>2</v>
      </c>
    </row>
    <row r="10" spans="1:85" x14ac:dyDescent="0.15">
      <c r="A10" t="s">
        <v>46</v>
      </c>
      <c r="B10" t="s">
        <v>48</v>
      </c>
      <c r="C10" t="s">
        <v>32</v>
      </c>
      <c r="D10">
        <v>46102</v>
      </c>
      <c r="E10" t="s">
        <v>233</v>
      </c>
      <c r="F10">
        <v>20</v>
      </c>
      <c r="G10">
        <v>9</v>
      </c>
      <c r="H10">
        <v>3</v>
      </c>
      <c r="I10">
        <v>1</v>
      </c>
      <c r="J10">
        <v>0</v>
      </c>
      <c r="K10">
        <v>1</v>
      </c>
      <c r="L10">
        <v>1</v>
      </c>
      <c r="M10">
        <v>7.0000000000000007E-2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6</v>
      </c>
      <c r="W10">
        <v>1</v>
      </c>
      <c r="X10">
        <v>2</v>
      </c>
      <c r="Y10">
        <v>0</v>
      </c>
      <c r="Z10">
        <v>0</v>
      </c>
      <c r="AA10">
        <v>2</v>
      </c>
      <c r="AB10">
        <v>2</v>
      </c>
      <c r="AC10">
        <v>0</v>
      </c>
      <c r="AD10">
        <v>0</v>
      </c>
      <c r="AE10">
        <v>0</v>
      </c>
      <c r="AF10">
        <v>0</v>
      </c>
      <c r="AG10">
        <v>2</v>
      </c>
      <c r="AH10">
        <v>1</v>
      </c>
      <c r="AI10">
        <v>2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2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v>1</v>
      </c>
      <c r="BB10">
        <v>7.0000000000000007E-2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2</v>
      </c>
      <c r="BK10">
        <v>0</v>
      </c>
      <c r="BL10">
        <v>0</v>
      </c>
      <c r="BM10">
        <v>0</v>
      </c>
      <c r="BN10">
        <v>1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0</v>
      </c>
      <c r="CF10">
        <v>1</v>
      </c>
      <c r="CG10">
        <v>1</v>
      </c>
    </row>
    <row r="11" spans="1:85" x14ac:dyDescent="0.15">
      <c r="A11" t="s">
        <v>52</v>
      </c>
      <c r="B11" t="s">
        <v>54</v>
      </c>
      <c r="C11" t="s">
        <v>32</v>
      </c>
      <c r="D11">
        <v>46095</v>
      </c>
      <c r="E11" t="s">
        <v>220</v>
      </c>
      <c r="F11">
        <v>83</v>
      </c>
      <c r="G11">
        <v>64</v>
      </c>
      <c r="H11">
        <v>28</v>
      </c>
      <c r="I11">
        <v>0</v>
      </c>
      <c r="J11">
        <v>0</v>
      </c>
      <c r="K11">
        <v>1</v>
      </c>
      <c r="L11">
        <v>0</v>
      </c>
      <c r="M11">
        <v>0.01</v>
      </c>
      <c r="N11">
        <v>25</v>
      </c>
      <c r="O11">
        <v>20</v>
      </c>
      <c r="P11">
        <v>1</v>
      </c>
      <c r="Q11">
        <v>1</v>
      </c>
      <c r="R11">
        <v>0</v>
      </c>
      <c r="S11">
        <v>0</v>
      </c>
      <c r="T11">
        <v>1</v>
      </c>
      <c r="U11">
        <v>0</v>
      </c>
      <c r="V11">
        <v>34</v>
      </c>
      <c r="W11">
        <v>8</v>
      </c>
      <c r="X11">
        <v>14</v>
      </c>
      <c r="Y11">
        <v>3</v>
      </c>
      <c r="Z11">
        <v>1</v>
      </c>
      <c r="AA11">
        <v>18</v>
      </c>
      <c r="AB11">
        <v>3</v>
      </c>
      <c r="AC11">
        <v>3</v>
      </c>
      <c r="AD11">
        <v>3</v>
      </c>
      <c r="AE11">
        <v>0</v>
      </c>
      <c r="AF11">
        <v>0</v>
      </c>
      <c r="AG11">
        <v>5</v>
      </c>
      <c r="AH11">
        <v>3</v>
      </c>
      <c r="AI11">
        <v>14</v>
      </c>
      <c r="AJ11">
        <v>3</v>
      </c>
      <c r="AK11">
        <v>6</v>
      </c>
      <c r="AL11">
        <v>0</v>
      </c>
      <c r="AM11">
        <v>0</v>
      </c>
      <c r="AN11">
        <v>0</v>
      </c>
      <c r="AO11">
        <v>1</v>
      </c>
      <c r="AP11">
        <v>18</v>
      </c>
      <c r="AQ11">
        <v>3</v>
      </c>
      <c r="AR11">
        <v>3</v>
      </c>
      <c r="AS11">
        <v>3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0.01</v>
      </c>
      <c r="BC11">
        <v>1</v>
      </c>
      <c r="BD11">
        <v>0</v>
      </c>
      <c r="BE11">
        <v>0</v>
      </c>
      <c r="BF11">
        <v>1</v>
      </c>
      <c r="BG11">
        <v>0</v>
      </c>
      <c r="BH11">
        <v>9</v>
      </c>
      <c r="BI11">
        <v>2</v>
      </c>
      <c r="BJ11">
        <v>1</v>
      </c>
      <c r="BK11">
        <v>0</v>
      </c>
      <c r="BL11">
        <v>0</v>
      </c>
      <c r="BM11">
        <v>1</v>
      </c>
      <c r="BN11">
        <v>25</v>
      </c>
      <c r="BO11">
        <v>20</v>
      </c>
      <c r="BP11">
        <v>1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0.01</v>
      </c>
      <c r="BX11">
        <v>0</v>
      </c>
      <c r="BY11">
        <v>2</v>
      </c>
      <c r="BZ11">
        <v>1</v>
      </c>
      <c r="CA11">
        <v>1</v>
      </c>
      <c r="CB11">
        <v>0</v>
      </c>
      <c r="CC11">
        <v>9</v>
      </c>
      <c r="CD11">
        <v>5</v>
      </c>
      <c r="CE11">
        <v>1</v>
      </c>
      <c r="CF11">
        <v>7</v>
      </c>
      <c r="CG11">
        <v>7</v>
      </c>
    </row>
    <row r="12" spans="1:85" x14ac:dyDescent="0.15">
      <c r="A12" t="s">
        <v>58</v>
      </c>
      <c r="B12" t="s">
        <v>60</v>
      </c>
      <c r="C12" t="s">
        <v>32</v>
      </c>
      <c r="D12">
        <v>46088</v>
      </c>
      <c r="E12" t="s">
        <v>233</v>
      </c>
      <c r="F12">
        <v>28</v>
      </c>
      <c r="G12">
        <v>9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4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4</v>
      </c>
      <c r="W12">
        <v>2</v>
      </c>
      <c r="X12">
        <v>0</v>
      </c>
      <c r="Y12">
        <v>0</v>
      </c>
      <c r="Z12">
        <v>0</v>
      </c>
      <c r="AA12">
        <v>4</v>
      </c>
      <c r="AB12">
        <v>1</v>
      </c>
      <c r="AC12">
        <v>1</v>
      </c>
      <c r="AD12">
        <v>1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4</v>
      </c>
      <c r="AQ12">
        <v>1</v>
      </c>
      <c r="AR12">
        <v>1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2</v>
      </c>
      <c r="BJ12">
        <v>0</v>
      </c>
      <c r="BK12">
        <v>0</v>
      </c>
      <c r="BL12">
        <v>1</v>
      </c>
      <c r="BM12">
        <v>0</v>
      </c>
      <c r="BN12">
        <v>4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1</v>
      </c>
      <c r="CB12">
        <v>0</v>
      </c>
      <c r="CC12">
        <v>4</v>
      </c>
      <c r="CD12">
        <v>1</v>
      </c>
      <c r="CE12">
        <v>0</v>
      </c>
      <c r="CF12">
        <v>0</v>
      </c>
      <c r="CG12">
        <v>0</v>
      </c>
    </row>
    <row r="13" spans="1:85" x14ac:dyDescent="0.15">
      <c r="A13" t="s">
        <v>69</v>
      </c>
      <c r="B13" t="s">
        <v>71</v>
      </c>
      <c r="C13" t="s">
        <v>32</v>
      </c>
      <c r="D13">
        <v>46060</v>
      </c>
      <c r="E13" t="s">
        <v>245</v>
      </c>
      <c r="F13">
        <v>99</v>
      </c>
      <c r="G13">
        <v>60</v>
      </c>
      <c r="H13">
        <v>33</v>
      </c>
      <c r="I13">
        <v>0</v>
      </c>
      <c r="J13">
        <v>0</v>
      </c>
      <c r="K13">
        <v>1</v>
      </c>
      <c r="L13">
        <v>1</v>
      </c>
      <c r="M13">
        <v>0.19</v>
      </c>
      <c r="N13">
        <v>33</v>
      </c>
      <c r="O13">
        <v>22</v>
      </c>
      <c r="P13">
        <v>5</v>
      </c>
      <c r="Q13">
        <v>2</v>
      </c>
      <c r="R13">
        <v>4</v>
      </c>
      <c r="S13">
        <v>0</v>
      </c>
      <c r="T13">
        <v>1</v>
      </c>
      <c r="U13">
        <v>1</v>
      </c>
      <c r="V13">
        <v>20</v>
      </c>
      <c r="W13">
        <v>10</v>
      </c>
      <c r="X13">
        <v>6</v>
      </c>
      <c r="Y13">
        <v>3</v>
      </c>
      <c r="Z13">
        <v>2</v>
      </c>
      <c r="AA13">
        <v>13</v>
      </c>
      <c r="AB13">
        <v>3</v>
      </c>
      <c r="AC13">
        <v>8</v>
      </c>
      <c r="AD13">
        <v>5</v>
      </c>
      <c r="AE13">
        <v>43</v>
      </c>
      <c r="AF13">
        <v>0</v>
      </c>
      <c r="AG13">
        <v>6</v>
      </c>
      <c r="AH13">
        <v>5</v>
      </c>
      <c r="AI13">
        <v>6</v>
      </c>
      <c r="AJ13">
        <v>3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13</v>
      </c>
      <c r="AQ13">
        <v>3</v>
      </c>
      <c r="AR13">
        <v>8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0.19</v>
      </c>
      <c r="BC13">
        <v>1</v>
      </c>
      <c r="BD13">
        <v>4</v>
      </c>
      <c r="BE13">
        <v>0</v>
      </c>
      <c r="BF13">
        <v>1</v>
      </c>
      <c r="BG13">
        <v>1</v>
      </c>
      <c r="BH13">
        <v>6</v>
      </c>
      <c r="BI13">
        <v>2</v>
      </c>
      <c r="BJ13">
        <v>2</v>
      </c>
      <c r="BK13">
        <v>2</v>
      </c>
      <c r="BL13">
        <v>0</v>
      </c>
      <c r="BM13">
        <v>0</v>
      </c>
      <c r="BN13">
        <v>33</v>
      </c>
      <c r="BO13">
        <v>22</v>
      </c>
      <c r="BP13">
        <v>5</v>
      </c>
      <c r="BQ13">
        <v>2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0.05</v>
      </c>
      <c r="BX13">
        <v>0</v>
      </c>
      <c r="BY13">
        <v>6</v>
      </c>
      <c r="BZ13">
        <v>3</v>
      </c>
      <c r="CA13">
        <v>4</v>
      </c>
      <c r="CB13">
        <v>2</v>
      </c>
      <c r="CC13">
        <v>20</v>
      </c>
      <c r="CD13">
        <v>8</v>
      </c>
      <c r="CE13">
        <v>4</v>
      </c>
      <c r="CF13">
        <v>2</v>
      </c>
      <c r="CG13">
        <v>2</v>
      </c>
    </row>
    <row r="14" spans="1:85" x14ac:dyDescent="0.15">
      <c r="A14" t="s">
        <v>73</v>
      </c>
      <c r="B14" t="s">
        <v>75</v>
      </c>
      <c r="C14" t="s">
        <v>32</v>
      </c>
      <c r="D14">
        <v>46046</v>
      </c>
      <c r="E14" t="s">
        <v>220</v>
      </c>
      <c r="F14">
        <v>73</v>
      </c>
      <c r="G14">
        <v>47</v>
      </c>
      <c r="H14">
        <v>17</v>
      </c>
      <c r="I14">
        <v>1</v>
      </c>
      <c r="J14">
        <v>0</v>
      </c>
      <c r="K14">
        <v>3</v>
      </c>
      <c r="L14">
        <v>2</v>
      </c>
      <c r="M14">
        <v>0.55000000000000004</v>
      </c>
      <c r="N14">
        <v>21</v>
      </c>
      <c r="O14">
        <v>10</v>
      </c>
      <c r="P14">
        <v>1</v>
      </c>
      <c r="Q14">
        <v>0</v>
      </c>
      <c r="R14">
        <v>3</v>
      </c>
      <c r="S14">
        <v>0</v>
      </c>
      <c r="T14">
        <v>1</v>
      </c>
      <c r="U14">
        <v>0</v>
      </c>
      <c r="V14">
        <v>21</v>
      </c>
      <c r="W14">
        <v>5</v>
      </c>
      <c r="X14">
        <v>9</v>
      </c>
      <c r="Y14">
        <v>4</v>
      </c>
      <c r="Z14">
        <v>1</v>
      </c>
      <c r="AA14">
        <v>17</v>
      </c>
      <c r="AB14">
        <v>3</v>
      </c>
      <c r="AC14">
        <v>3</v>
      </c>
      <c r="AD14">
        <v>2</v>
      </c>
      <c r="AE14">
        <v>0</v>
      </c>
      <c r="AF14">
        <v>0</v>
      </c>
      <c r="AG14">
        <v>3</v>
      </c>
      <c r="AH14">
        <v>1</v>
      </c>
      <c r="AI14">
        <v>9</v>
      </c>
      <c r="AJ14">
        <v>4</v>
      </c>
      <c r="AK14">
        <v>5</v>
      </c>
      <c r="AL14">
        <v>0</v>
      </c>
      <c r="AM14">
        <v>0</v>
      </c>
      <c r="AN14">
        <v>0</v>
      </c>
      <c r="AO14">
        <v>1</v>
      </c>
      <c r="AP14">
        <v>17</v>
      </c>
      <c r="AQ14">
        <v>3</v>
      </c>
      <c r="AR14">
        <v>3</v>
      </c>
      <c r="AS14">
        <v>2</v>
      </c>
      <c r="AT14">
        <v>0</v>
      </c>
      <c r="AU14">
        <v>1</v>
      </c>
      <c r="AV14">
        <v>0</v>
      </c>
      <c r="AW14">
        <v>0</v>
      </c>
      <c r="AX14">
        <v>1</v>
      </c>
      <c r="AY14">
        <v>0</v>
      </c>
      <c r="AZ14">
        <v>3</v>
      </c>
      <c r="BA14">
        <v>2</v>
      </c>
      <c r="BB14">
        <v>0.55000000000000004</v>
      </c>
      <c r="BC14">
        <v>0</v>
      </c>
      <c r="BD14">
        <v>3</v>
      </c>
      <c r="BE14">
        <v>0</v>
      </c>
      <c r="BF14">
        <v>1</v>
      </c>
      <c r="BG14">
        <v>0</v>
      </c>
      <c r="BH14">
        <v>4</v>
      </c>
      <c r="BI14">
        <v>0</v>
      </c>
      <c r="BJ14">
        <v>3</v>
      </c>
      <c r="BK14">
        <v>0</v>
      </c>
      <c r="BL14">
        <v>2</v>
      </c>
      <c r="BM14">
        <v>1</v>
      </c>
      <c r="BN14">
        <v>21</v>
      </c>
      <c r="BO14">
        <v>10</v>
      </c>
      <c r="BP14">
        <v>1</v>
      </c>
      <c r="BQ14">
        <v>0</v>
      </c>
      <c r="BR14">
        <v>0</v>
      </c>
      <c r="BS14">
        <v>0</v>
      </c>
      <c r="BT14">
        <v>3</v>
      </c>
      <c r="BU1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>
        <v>4</v>
      </c>
      <c r="CB14">
        <v>1</v>
      </c>
      <c r="CC14">
        <v>17</v>
      </c>
      <c r="CD14">
        <v>8</v>
      </c>
      <c r="CE14">
        <v>5</v>
      </c>
      <c r="CF14">
        <v>4</v>
      </c>
      <c r="CG14">
        <v>3</v>
      </c>
    </row>
    <row r="15" spans="1:85" x14ac:dyDescent="0.15">
      <c r="A15" t="s">
        <v>103</v>
      </c>
      <c r="B15" t="s">
        <v>105</v>
      </c>
      <c r="C15" t="s">
        <v>106</v>
      </c>
      <c r="D15" t="s">
        <v>104</v>
      </c>
      <c r="E15" t="s">
        <v>220</v>
      </c>
      <c r="F15">
        <v>17</v>
      </c>
      <c r="G15">
        <v>11</v>
      </c>
      <c r="H15">
        <v>7</v>
      </c>
      <c r="I15">
        <v>0</v>
      </c>
      <c r="J15">
        <v>1</v>
      </c>
      <c r="K15">
        <v>0</v>
      </c>
      <c r="L15">
        <v>0</v>
      </c>
      <c r="M15">
        <v>0</v>
      </c>
      <c r="N15">
        <v>7</v>
      </c>
      <c r="O15">
        <v>6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3</v>
      </c>
      <c r="W15">
        <v>1</v>
      </c>
      <c r="X15">
        <v>1</v>
      </c>
      <c r="Y15">
        <v>1</v>
      </c>
      <c r="Z15">
        <v>0</v>
      </c>
      <c r="AA15">
        <v>2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1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7</v>
      </c>
      <c r="BO15">
        <v>6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0.05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4</v>
      </c>
      <c r="CD15">
        <v>1</v>
      </c>
      <c r="CE15">
        <v>1</v>
      </c>
      <c r="CF15">
        <v>3</v>
      </c>
      <c r="CG15">
        <v>3</v>
      </c>
    </row>
    <row r="16" spans="1:85" x14ac:dyDescent="0.15">
      <c r="A16" t="s">
        <v>214</v>
      </c>
      <c r="B16" t="s">
        <v>215</v>
      </c>
      <c r="C16" t="s">
        <v>106</v>
      </c>
      <c r="D16" t="s">
        <v>216</v>
      </c>
      <c r="E16" t="s">
        <v>220</v>
      </c>
      <c r="F16">
        <v>23</v>
      </c>
      <c r="G16">
        <v>10</v>
      </c>
      <c r="H16">
        <v>6</v>
      </c>
      <c r="I16">
        <v>0</v>
      </c>
      <c r="J16">
        <v>0</v>
      </c>
      <c r="K16">
        <v>0</v>
      </c>
      <c r="L16">
        <v>0</v>
      </c>
      <c r="M16">
        <v>0</v>
      </c>
      <c r="N16">
        <v>5</v>
      </c>
      <c r="O16">
        <v>3</v>
      </c>
      <c r="P16">
        <v>0</v>
      </c>
      <c r="Q16">
        <v>0</v>
      </c>
      <c r="R16">
        <v>1</v>
      </c>
      <c r="S16">
        <v>1</v>
      </c>
      <c r="T16">
        <v>0</v>
      </c>
      <c r="U16">
        <v>0</v>
      </c>
      <c r="V16">
        <v>4</v>
      </c>
      <c r="W16">
        <v>3</v>
      </c>
      <c r="X16">
        <v>2</v>
      </c>
      <c r="Y16">
        <v>1</v>
      </c>
      <c r="Z16">
        <v>0</v>
      </c>
      <c r="AA16">
        <v>1</v>
      </c>
      <c r="AB16">
        <v>1</v>
      </c>
      <c r="AC16">
        <v>4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1</v>
      </c>
      <c r="AR16">
        <v>4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1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</v>
      </c>
      <c r="BO16">
        <v>3</v>
      </c>
      <c r="BP16">
        <v>0</v>
      </c>
      <c r="BQ16">
        <v>0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6</v>
      </c>
      <c r="CD16">
        <v>3</v>
      </c>
      <c r="CE16">
        <v>1</v>
      </c>
      <c r="CF16">
        <v>0</v>
      </c>
      <c r="CG16">
        <v>0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H17"/>
  <sheetViews>
    <sheetView workbookViewId="0">
      <selection activeCell="F10" sqref="F10"/>
    </sheetView>
  </sheetViews>
  <sheetFormatPr baseColWidth="10" defaultRowHeight="14" x14ac:dyDescent="0.15"/>
  <sheetData>
    <row r="1" spans="1:86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t="s">
        <v>181</v>
      </c>
      <c r="AH1" s="5" t="s">
        <v>195</v>
      </c>
      <c r="AI1" s="5"/>
      <c r="AJ1" s="5" t="s">
        <v>190</v>
      </c>
      <c r="AK1" s="5"/>
      <c r="AL1" s="5" t="s">
        <v>196</v>
      </c>
      <c r="AM1" s="5"/>
      <c r="AN1" s="5" t="s">
        <v>197</v>
      </c>
      <c r="AO1" s="5"/>
      <c r="AP1" t="s">
        <v>144</v>
      </c>
      <c r="AQ1" s="5" t="s">
        <v>191</v>
      </c>
      <c r="AR1" s="5"/>
      <c r="AS1" s="5" t="s">
        <v>192</v>
      </c>
      <c r="AT1" s="5"/>
      <c r="AU1" t="s">
        <v>145</v>
      </c>
      <c r="AV1" t="s">
        <v>146</v>
      </c>
      <c r="AW1" t="s">
        <v>147</v>
      </c>
      <c r="AX1" t="s">
        <v>148</v>
      </c>
      <c r="AY1" t="s">
        <v>7</v>
      </c>
      <c r="AZ1" t="s">
        <v>183</v>
      </c>
      <c r="BA1" s="5" t="s">
        <v>184</v>
      </c>
      <c r="BB1" s="5"/>
      <c r="BC1" t="s">
        <v>8</v>
      </c>
      <c r="BD1" t="s">
        <v>198</v>
      </c>
      <c r="BE1" s="5" t="s">
        <v>187</v>
      </c>
      <c r="BF1" s="5"/>
      <c r="BG1" s="5" t="s">
        <v>188</v>
      </c>
      <c r="BH1" s="5"/>
      <c r="BI1" s="5" t="s">
        <v>199</v>
      </c>
      <c r="BJ1" s="5"/>
      <c r="BK1" t="s">
        <v>200</v>
      </c>
      <c r="BL1" t="s">
        <v>130</v>
      </c>
      <c r="BM1" t="s">
        <v>201</v>
      </c>
      <c r="BN1" t="s">
        <v>202</v>
      </c>
      <c r="BO1" s="5" t="s">
        <v>185</v>
      </c>
      <c r="BP1" s="5"/>
      <c r="BQ1" s="5" t="s">
        <v>186</v>
      </c>
      <c r="BR1" s="5"/>
      <c r="BS1" s="5" t="s">
        <v>203</v>
      </c>
      <c r="BT1" s="5"/>
      <c r="BU1" s="5" t="s">
        <v>187</v>
      </c>
      <c r="BV1" s="5"/>
      <c r="BW1" t="s">
        <v>183</v>
      </c>
      <c r="BX1" t="s">
        <v>204</v>
      </c>
      <c r="BY1" t="s">
        <v>205</v>
      </c>
      <c r="BZ1" s="5" t="s">
        <v>206</v>
      </c>
      <c r="CA1" s="5"/>
      <c r="CB1" s="5" t="s">
        <v>207</v>
      </c>
      <c r="CC1" s="5"/>
      <c r="CD1" t="s">
        <v>208</v>
      </c>
      <c r="CE1" s="5" t="s">
        <v>209</v>
      </c>
      <c r="CF1" s="5"/>
      <c r="CG1" s="5" t="s">
        <v>210</v>
      </c>
      <c r="CH1" s="5"/>
    </row>
    <row r="2" spans="1:86" x14ac:dyDescent="0.15">
      <c r="A2" t="s">
        <v>96</v>
      </c>
      <c r="B2" t="s">
        <v>92</v>
      </c>
      <c r="C2" t="s">
        <v>32</v>
      </c>
      <c r="D2" t="s">
        <v>91</v>
      </c>
      <c r="E2" t="s">
        <v>220</v>
      </c>
      <c r="F2">
        <v>92</v>
      </c>
      <c r="G2">
        <v>64</v>
      </c>
      <c r="H2">
        <v>32</v>
      </c>
      <c r="I2">
        <v>0</v>
      </c>
      <c r="J2">
        <v>0</v>
      </c>
      <c r="K2">
        <v>2</v>
      </c>
      <c r="L2">
        <v>1</v>
      </c>
      <c r="M2">
        <v>0.21</v>
      </c>
      <c r="N2">
        <v>29</v>
      </c>
      <c r="O2">
        <v>20</v>
      </c>
      <c r="P2">
        <v>1</v>
      </c>
      <c r="Q2">
        <v>0</v>
      </c>
      <c r="R2">
        <v>1</v>
      </c>
      <c r="S2">
        <v>0</v>
      </c>
      <c r="T2">
        <v>1</v>
      </c>
      <c r="U2">
        <v>1</v>
      </c>
      <c r="V2">
        <v>28</v>
      </c>
      <c r="W2">
        <v>11</v>
      </c>
      <c r="X2">
        <v>15</v>
      </c>
      <c r="Y2">
        <v>7</v>
      </c>
      <c r="Z2">
        <v>2</v>
      </c>
      <c r="AA2">
        <v>21</v>
      </c>
      <c r="AB2">
        <v>4</v>
      </c>
      <c r="AC2">
        <v>4</v>
      </c>
      <c r="AD2">
        <v>2</v>
      </c>
      <c r="AE2">
        <v>28</v>
      </c>
      <c r="AF2">
        <v>0</v>
      </c>
      <c r="AG2">
        <v>92</v>
      </c>
      <c r="AH2">
        <v>4</v>
      </c>
      <c r="AI2">
        <v>2</v>
      </c>
      <c r="AJ2">
        <v>15</v>
      </c>
      <c r="AK2">
        <v>7</v>
      </c>
      <c r="AL2">
        <v>1</v>
      </c>
      <c r="AM2">
        <v>0</v>
      </c>
      <c r="AN2">
        <v>1</v>
      </c>
      <c r="AO2">
        <v>0</v>
      </c>
      <c r="AP2">
        <v>2</v>
      </c>
      <c r="AQ2">
        <v>21</v>
      </c>
      <c r="AR2">
        <v>4</v>
      </c>
      <c r="AS2">
        <v>4</v>
      </c>
      <c r="AT2">
        <v>2</v>
      </c>
      <c r="AU2">
        <v>1</v>
      </c>
      <c r="AV2">
        <v>2</v>
      </c>
      <c r="AW2">
        <v>1</v>
      </c>
      <c r="AX2">
        <v>0</v>
      </c>
      <c r="AY2">
        <v>0</v>
      </c>
      <c r="AZ2">
        <v>0</v>
      </c>
      <c r="BA2">
        <v>2</v>
      </c>
      <c r="BB2">
        <v>1</v>
      </c>
      <c r="BC2">
        <v>0.21</v>
      </c>
      <c r="BD2">
        <v>0</v>
      </c>
      <c r="BE2">
        <v>1</v>
      </c>
      <c r="BF2">
        <v>0</v>
      </c>
      <c r="BG2">
        <v>1</v>
      </c>
      <c r="BH2">
        <v>1</v>
      </c>
      <c r="BI2">
        <v>8</v>
      </c>
      <c r="BJ2">
        <v>2</v>
      </c>
      <c r="BK2">
        <v>2</v>
      </c>
      <c r="BL2">
        <v>1</v>
      </c>
      <c r="BM2">
        <v>1</v>
      </c>
      <c r="BN2">
        <v>0</v>
      </c>
      <c r="BO2">
        <v>29</v>
      </c>
      <c r="BP2">
        <v>20</v>
      </c>
      <c r="BQ2">
        <v>1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  <c r="BY2">
        <v>0</v>
      </c>
      <c r="BZ2">
        <v>4</v>
      </c>
      <c r="CA2">
        <v>2</v>
      </c>
      <c r="CB2">
        <v>1</v>
      </c>
      <c r="CC2">
        <v>0</v>
      </c>
      <c r="CD2">
        <v>19</v>
      </c>
      <c r="CE2">
        <v>7</v>
      </c>
      <c r="CF2">
        <v>4</v>
      </c>
      <c r="CG2">
        <v>10</v>
      </c>
      <c r="CH2">
        <v>9</v>
      </c>
    </row>
    <row r="3" spans="1:86" x14ac:dyDescent="0.15">
      <c r="A3" t="s">
        <v>90</v>
      </c>
      <c r="B3" t="s">
        <v>98</v>
      </c>
      <c r="C3" t="s">
        <v>32</v>
      </c>
      <c r="D3" t="s">
        <v>97</v>
      </c>
      <c r="E3" t="s">
        <v>220</v>
      </c>
      <c r="F3">
        <v>48</v>
      </c>
      <c r="G3">
        <v>42</v>
      </c>
      <c r="H3">
        <v>14</v>
      </c>
      <c r="I3">
        <v>0</v>
      </c>
      <c r="J3">
        <v>0</v>
      </c>
      <c r="K3">
        <v>4</v>
      </c>
      <c r="L3">
        <v>1</v>
      </c>
      <c r="M3">
        <v>0.2</v>
      </c>
      <c r="N3">
        <v>14</v>
      </c>
      <c r="O3">
        <v>8</v>
      </c>
      <c r="P3">
        <v>2</v>
      </c>
      <c r="Q3">
        <v>1</v>
      </c>
      <c r="R3">
        <v>0</v>
      </c>
      <c r="S3">
        <v>0</v>
      </c>
      <c r="T3">
        <v>1</v>
      </c>
      <c r="U3">
        <v>1</v>
      </c>
      <c r="V3">
        <v>21</v>
      </c>
      <c r="W3">
        <v>5</v>
      </c>
      <c r="X3">
        <v>12</v>
      </c>
      <c r="Y3">
        <v>2</v>
      </c>
      <c r="Z3">
        <v>0</v>
      </c>
      <c r="AA3">
        <v>13</v>
      </c>
      <c r="AB3">
        <v>0</v>
      </c>
      <c r="AC3">
        <v>2</v>
      </c>
      <c r="AD3">
        <v>2</v>
      </c>
      <c r="AE3">
        <v>0</v>
      </c>
      <c r="AF3">
        <v>0</v>
      </c>
      <c r="AG3">
        <v>48</v>
      </c>
      <c r="AH3">
        <v>0</v>
      </c>
      <c r="AI3">
        <v>0</v>
      </c>
      <c r="AJ3">
        <v>12</v>
      </c>
      <c r="AK3">
        <v>2</v>
      </c>
      <c r="AL3">
        <v>4</v>
      </c>
      <c r="AM3">
        <v>1</v>
      </c>
      <c r="AN3">
        <v>0</v>
      </c>
      <c r="AO3">
        <v>0</v>
      </c>
      <c r="AP3">
        <v>0</v>
      </c>
      <c r="AQ3">
        <v>13</v>
      </c>
      <c r="AR3">
        <v>0</v>
      </c>
      <c r="AS3">
        <v>2</v>
      </c>
      <c r="AT3">
        <v>2</v>
      </c>
      <c r="AU3">
        <v>0</v>
      </c>
      <c r="AV3">
        <v>3</v>
      </c>
      <c r="AW3">
        <v>0</v>
      </c>
      <c r="AX3">
        <v>0</v>
      </c>
      <c r="AY3">
        <v>0</v>
      </c>
      <c r="AZ3">
        <v>0</v>
      </c>
      <c r="BA3">
        <v>4</v>
      </c>
      <c r="BB3">
        <v>1</v>
      </c>
      <c r="BC3">
        <v>0.2</v>
      </c>
      <c r="BD3">
        <v>0</v>
      </c>
      <c r="BE3">
        <v>0</v>
      </c>
      <c r="BF3">
        <v>0</v>
      </c>
      <c r="BG3">
        <v>1</v>
      </c>
      <c r="BH3">
        <v>1</v>
      </c>
      <c r="BI3">
        <v>5</v>
      </c>
      <c r="BJ3">
        <v>2</v>
      </c>
      <c r="BK3">
        <v>3</v>
      </c>
      <c r="BL3">
        <v>0</v>
      </c>
      <c r="BM3">
        <v>0</v>
      </c>
      <c r="BN3">
        <v>1</v>
      </c>
      <c r="BO3">
        <v>14</v>
      </c>
      <c r="BP3">
        <v>8</v>
      </c>
      <c r="BQ3">
        <v>2</v>
      </c>
      <c r="BR3">
        <v>1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4</v>
      </c>
      <c r="CA3">
        <v>2</v>
      </c>
      <c r="CB3">
        <v>0</v>
      </c>
      <c r="CC3">
        <v>0</v>
      </c>
      <c r="CD3">
        <v>13</v>
      </c>
      <c r="CE3">
        <v>5</v>
      </c>
      <c r="CF3">
        <v>3</v>
      </c>
      <c r="CG3">
        <v>3</v>
      </c>
      <c r="CH3">
        <v>2</v>
      </c>
    </row>
    <row r="4" spans="1:86" x14ac:dyDescent="0.15">
      <c r="A4" t="s">
        <v>77</v>
      </c>
      <c r="B4" t="s">
        <v>79</v>
      </c>
      <c r="C4" t="s">
        <v>32</v>
      </c>
      <c r="D4" t="s">
        <v>30</v>
      </c>
      <c r="E4" t="s">
        <v>220</v>
      </c>
      <c r="F4">
        <v>93</v>
      </c>
      <c r="G4">
        <v>61</v>
      </c>
      <c r="H4">
        <v>27</v>
      </c>
      <c r="I4">
        <v>1</v>
      </c>
      <c r="J4">
        <v>0</v>
      </c>
      <c r="K4">
        <v>1</v>
      </c>
      <c r="L4">
        <v>1</v>
      </c>
      <c r="M4">
        <v>0.24</v>
      </c>
      <c r="N4">
        <v>31</v>
      </c>
      <c r="O4">
        <v>20</v>
      </c>
      <c r="P4">
        <v>1</v>
      </c>
      <c r="Q4">
        <v>0</v>
      </c>
      <c r="R4">
        <v>0</v>
      </c>
      <c r="S4">
        <v>0</v>
      </c>
      <c r="T4">
        <v>2</v>
      </c>
      <c r="U4">
        <v>1</v>
      </c>
      <c r="V4">
        <v>26</v>
      </c>
      <c r="W4">
        <v>6</v>
      </c>
      <c r="X4">
        <v>9</v>
      </c>
      <c r="Y4">
        <v>1</v>
      </c>
      <c r="Z4">
        <v>0</v>
      </c>
      <c r="AA4">
        <v>23</v>
      </c>
      <c r="AB4">
        <v>3</v>
      </c>
      <c r="AC4">
        <v>4</v>
      </c>
      <c r="AD4">
        <v>4</v>
      </c>
      <c r="AE4">
        <v>0</v>
      </c>
      <c r="AF4">
        <v>0</v>
      </c>
      <c r="AG4">
        <v>93</v>
      </c>
      <c r="AH4">
        <v>1</v>
      </c>
      <c r="AI4">
        <v>0</v>
      </c>
      <c r="AJ4">
        <v>9</v>
      </c>
      <c r="AK4">
        <v>1</v>
      </c>
      <c r="AL4">
        <v>6</v>
      </c>
      <c r="AM4">
        <v>2</v>
      </c>
      <c r="AN4">
        <v>1</v>
      </c>
      <c r="AO4">
        <v>0</v>
      </c>
      <c r="AP4">
        <v>0</v>
      </c>
      <c r="AQ4">
        <v>23</v>
      </c>
      <c r="AR4">
        <v>3</v>
      </c>
      <c r="AS4">
        <v>4</v>
      </c>
      <c r="AT4">
        <v>4</v>
      </c>
      <c r="AU4">
        <v>0</v>
      </c>
      <c r="AV4">
        <v>1</v>
      </c>
      <c r="AW4">
        <v>0</v>
      </c>
      <c r="AX4">
        <v>0</v>
      </c>
      <c r="AY4">
        <v>1</v>
      </c>
      <c r="AZ4">
        <v>0</v>
      </c>
      <c r="BA4">
        <v>1</v>
      </c>
      <c r="BB4">
        <v>1</v>
      </c>
      <c r="BC4">
        <v>0.24</v>
      </c>
      <c r="BD4">
        <v>0</v>
      </c>
      <c r="BE4">
        <v>0</v>
      </c>
      <c r="BF4">
        <v>0</v>
      </c>
      <c r="BG4">
        <v>2</v>
      </c>
      <c r="BH4">
        <v>1</v>
      </c>
      <c r="BI4">
        <v>10</v>
      </c>
      <c r="BJ4">
        <v>3</v>
      </c>
      <c r="BK4">
        <v>1</v>
      </c>
      <c r="BL4">
        <v>2</v>
      </c>
      <c r="BM4">
        <v>1</v>
      </c>
      <c r="BN4">
        <v>0</v>
      </c>
      <c r="BO4">
        <v>31</v>
      </c>
      <c r="BP4">
        <v>20</v>
      </c>
      <c r="BQ4">
        <v>1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2</v>
      </c>
      <c r="CA4">
        <v>0</v>
      </c>
      <c r="CB4">
        <v>2</v>
      </c>
      <c r="CC4">
        <v>1</v>
      </c>
      <c r="CD4">
        <v>24</v>
      </c>
      <c r="CE4">
        <v>5</v>
      </c>
      <c r="CF4">
        <v>1</v>
      </c>
      <c r="CG4">
        <v>16</v>
      </c>
      <c r="CH4">
        <v>13</v>
      </c>
    </row>
    <row r="5" spans="1:86" x14ac:dyDescent="0.15">
      <c r="A5" t="s">
        <v>80</v>
      </c>
      <c r="B5" t="s">
        <v>82</v>
      </c>
      <c r="C5" t="s">
        <v>32</v>
      </c>
      <c r="D5" t="s">
        <v>37</v>
      </c>
      <c r="E5" t="s">
        <v>220</v>
      </c>
      <c r="F5">
        <v>96</v>
      </c>
      <c r="G5">
        <v>74</v>
      </c>
      <c r="H5">
        <v>29</v>
      </c>
      <c r="I5">
        <v>0</v>
      </c>
      <c r="J5">
        <v>0</v>
      </c>
      <c r="K5">
        <v>4</v>
      </c>
      <c r="L5">
        <v>1</v>
      </c>
      <c r="M5">
        <v>0.46</v>
      </c>
      <c r="N5">
        <v>19</v>
      </c>
      <c r="O5">
        <v>14</v>
      </c>
      <c r="P5">
        <v>2</v>
      </c>
      <c r="Q5">
        <v>1</v>
      </c>
      <c r="R5">
        <v>3</v>
      </c>
      <c r="S5">
        <v>1</v>
      </c>
      <c r="T5">
        <v>8</v>
      </c>
      <c r="U5">
        <v>4</v>
      </c>
      <c r="V5">
        <v>47</v>
      </c>
      <c r="W5">
        <v>14</v>
      </c>
      <c r="X5">
        <v>16</v>
      </c>
      <c r="Y5">
        <v>5</v>
      </c>
      <c r="Z5">
        <v>0</v>
      </c>
      <c r="AA5">
        <v>16</v>
      </c>
      <c r="AB5">
        <v>1</v>
      </c>
      <c r="AC5">
        <v>3</v>
      </c>
      <c r="AD5">
        <v>2</v>
      </c>
      <c r="AE5">
        <v>0</v>
      </c>
      <c r="AF5">
        <v>0</v>
      </c>
      <c r="AG5">
        <v>96</v>
      </c>
      <c r="AH5">
        <v>5</v>
      </c>
      <c r="AI5">
        <v>1</v>
      </c>
      <c r="AJ5">
        <v>16</v>
      </c>
      <c r="AK5">
        <v>5</v>
      </c>
      <c r="AL5">
        <v>7</v>
      </c>
      <c r="AM5">
        <v>1</v>
      </c>
      <c r="AN5">
        <v>0</v>
      </c>
      <c r="AO5">
        <v>0</v>
      </c>
      <c r="AP5">
        <v>0</v>
      </c>
      <c r="AQ5">
        <v>16</v>
      </c>
      <c r="AR5">
        <v>1</v>
      </c>
      <c r="AS5">
        <v>3</v>
      </c>
      <c r="AT5">
        <v>2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4</v>
      </c>
      <c r="BB5">
        <v>1</v>
      </c>
      <c r="BC5">
        <v>0.46</v>
      </c>
      <c r="BD5">
        <v>1</v>
      </c>
      <c r="BE5">
        <v>3</v>
      </c>
      <c r="BF5">
        <v>1</v>
      </c>
      <c r="BG5">
        <v>8</v>
      </c>
      <c r="BH5">
        <v>4</v>
      </c>
      <c r="BI5">
        <v>19</v>
      </c>
      <c r="BJ5">
        <v>7</v>
      </c>
      <c r="BK5">
        <v>5</v>
      </c>
      <c r="BL5">
        <v>1</v>
      </c>
      <c r="BM5">
        <v>3</v>
      </c>
      <c r="BN5">
        <v>1</v>
      </c>
      <c r="BO5">
        <v>19</v>
      </c>
      <c r="BP5">
        <v>14</v>
      </c>
      <c r="BQ5">
        <v>2</v>
      </c>
      <c r="BR5">
        <v>1</v>
      </c>
      <c r="BS5">
        <v>1</v>
      </c>
      <c r="BT5">
        <v>0</v>
      </c>
      <c r="BU5">
        <v>3</v>
      </c>
      <c r="BV5">
        <v>1</v>
      </c>
      <c r="BW5">
        <v>0</v>
      </c>
      <c r="BX5">
        <v>0.21</v>
      </c>
      <c r="BY5">
        <v>0</v>
      </c>
      <c r="BZ5">
        <v>5</v>
      </c>
      <c r="CA5">
        <v>3</v>
      </c>
      <c r="CB5">
        <v>2</v>
      </c>
      <c r="CC5">
        <v>1</v>
      </c>
      <c r="CD5">
        <v>9</v>
      </c>
      <c r="CE5">
        <v>3</v>
      </c>
      <c r="CF5">
        <v>2</v>
      </c>
      <c r="CG5">
        <v>7</v>
      </c>
      <c r="CH5">
        <v>6</v>
      </c>
    </row>
    <row r="6" spans="1:86" x14ac:dyDescent="0.15">
      <c r="A6" t="s">
        <v>86</v>
      </c>
      <c r="B6" t="s">
        <v>88</v>
      </c>
      <c r="C6" t="s">
        <v>32</v>
      </c>
      <c r="D6" t="s">
        <v>43</v>
      </c>
      <c r="E6" t="s">
        <v>220</v>
      </c>
      <c r="F6">
        <v>41</v>
      </c>
      <c r="G6">
        <v>43</v>
      </c>
      <c r="H6">
        <v>7</v>
      </c>
      <c r="I6">
        <v>0</v>
      </c>
      <c r="J6">
        <v>0</v>
      </c>
      <c r="K6">
        <v>3</v>
      </c>
      <c r="L6">
        <v>0</v>
      </c>
      <c r="M6">
        <v>0.34</v>
      </c>
      <c r="N6">
        <v>3</v>
      </c>
      <c r="O6">
        <v>3</v>
      </c>
      <c r="P6">
        <v>0</v>
      </c>
      <c r="Q6">
        <v>0</v>
      </c>
      <c r="R6">
        <v>0</v>
      </c>
      <c r="S6">
        <v>0</v>
      </c>
      <c r="T6">
        <v>3</v>
      </c>
      <c r="U6">
        <v>1</v>
      </c>
      <c r="V6">
        <v>29</v>
      </c>
      <c r="W6">
        <v>4</v>
      </c>
      <c r="X6">
        <v>12</v>
      </c>
      <c r="Y6">
        <v>2</v>
      </c>
      <c r="Z6">
        <v>3</v>
      </c>
      <c r="AA6">
        <v>13</v>
      </c>
      <c r="AB6">
        <v>1</v>
      </c>
      <c r="AC6">
        <v>0</v>
      </c>
      <c r="AD6">
        <v>0</v>
      </c>
      <c r="AE6">
        <v>0</v>
      </c>
      <c r="AF6">
        <v>0</v>
      </c>
      <c r="AG6">
        <v>41</v>
      </c>
      <c r="AH6">
        <v>4</v>
      </c>
      <c r="AI6">
        <v>1</v>
      </c>
      <c r="AJ6">
        <v>12</v>
      </c>
      <c r="AK6">
        <v>2</v>
      </c>
      <c r="AL6">
        <v>4</v>
      </c>
      <c r="AM6">
        <v>0</v>
      </c>
      <c r="AN6">
        <v>0</v>
      </c>
      <c r="AO6">
        <v>0</v>
      </c>
      <c r="AP6">
        <v>3</v>
      </c>
      <c r="AQ6">
        <v>13</v>
      </c>
      <c r="AR6">
        <v>1</v>
      </c>
      <c r="AS6">
        <v>0</v>
      </c>
      <c r="AT6">
        <v>0</v>
      </c>
      <c r="AU6">
        <v>1</v>
      </c>
      <c r="AV6">
        <v>5</v>
      </c>
      <c r="AW6">
        <v>0</v>
      </c>
      <c r="AX6">
        <v>0</v>
      </c>
      <c r="AY6">
        <v>0</v>
      </c>
      <c r="AZ6">
        <v>0</v>
      </c>
      <c r="BA6">
        <v>3</v>
      </c>
      <c r="BB6">
        <v>0</v>
      </c>
      <c r="BC6">
        <v>0.34</v>
      </c>
      <c r="BD6">
        <v>0</v>
      </c>
      <c r="BE6">
        <v>0</v>
      </c>
      <c r="BF6">
        <v>0</v>
      </c>
      <c r="BG6">
        <v>3</v>
      </c>
      <c r="BH6">
        <v>1</v>
      </c>
      <c r="BI6">
        <v>9</v>
      </c>
      <c r="BJ6">
        <v>1</v>
      </c>
      <c r="BK6">
        <v>2</v>
      </c>
      <c r="BL6">
        <v>1</v>
      </c>
      <c r="BM6">
        <v>1</v>
      </c>
      <c r="BN6">
        <v>0</v>
      </c>
      <c r="BO6">
        <v>3</v>
      </c>
      <c r="BP6">
        <v>3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1</v>
      </c>
      <c r="CB6">
        <v>0</v>
      </c>
      <c r="CC6">
        <v>0</v>
      </c>
      <c r="CD6">
        <v>3</v>
      </c>
      <c r="CE6">
        <v>1</v>
      </c>
      <c r="CF6">
        <v>1</v>
      </c>
      <c r="CG6">
        <v>2</v>
      </c>
      <c r="CH6">
        <v>2</v>
      </c>
    </row>
    <row r="7" spans="1:86" x14ac:dyDescent="0.15">
      <c r="A7" t="s">
        <v>29</v>
      </c>
      <c r="B7" t="s">
        <v>31</v>
      </c>
      <c r="C7" t="s">
        <v>32</v>
      </c>
      <c r="D7" t="s">
        <v>47</v>
      </c>
      <c r="E7" t="s">
        <v>220</v>
      </c>
      <c r="F7">
        <v>74</v>
      </c>
      <c r="G7">
        <v>42</v>
      </c>
      <c r="H7">
        <v>12</v>
      </c>
      <c r="I7">
        <v>0</v>
      </c>
      <c r="J7">
        <v>0</v>
      </c>
      <c r="K7">
        <v>2</v>
      </c>
      <c r="L7">
        <v>0</v>
      </c>
      <c r="M7">
        <v>0.33</v>
      </c>
      <c r="N7">
        <v>15</v>
      </c>
      <c r="O7">
        <v>8</v>
      </c>
      <c r="P7">
        <v>1</v>
      </c>
      <c r="Q7">
        <v>0</v>
      </c>
      <c r="R7">
        <v>1</v>
      </c>
      <c r="S7">
        <v>0</v>
      </c>
      <c r="T7">
        <v>1</v>
      </c>
      <c r="U7">
        <v>0</v>
      </c>
      <c r="V7">
        <v>22</v>
      </c>
      <c r="W7">
        <v>4</v>
      </c>
      <c r="X7">
        <v>3</v>
      </c>
      <c r="Y7">
        <v>1</v>
      </c>
      <c r="Z7">
        <v>0</v>
      </c>
      <c r="AA7">
        <v>11</v>
      </c>
      <c r="AB7">
        <v>1</v>
      </c>
      <c r="AC7">
        <v>1</v>
      </c>
      <c r="AD7">
        <v>1</v>
      </c>
      <c r="AE7">
        <v>0</v>
      </c>
      <c r="AF7">
        <v>0</v>
      </c>
      <c r="AG7">
        <v>74</v>
      </c>
      <c r="AH7">
        <v>4</v>
      </c>
      <c r="AI7">
        <v>3</v>
      </c>
      <c r="AJ7">
        <v>3</v>
      </c>
      <c r="AK7">
        <v>1</v>
      </c>
      <c r="AL7">
        <v>2</v>
      </c>
      <c r="AM7">
        <v>0</v>
      </c>
      <c r="AN7">
        <v>0</v>
      </c>
      <c r="AO7">
        <v>0</v>
      </c>
      <c r="AP7">
        <v>0</v>
      </c>
      <c r="AQ7">
        <v>11</v>
      </c>
      <c r="AR7">
        <v>1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2</v>
      </c>
      <c r="BB7">
        <v>0</v>
      </c>
      <c r="BC7">
        <v>0.33</v>
      </c>
      <c r="BD7">
        <v>0</v>
      </c>
      <c r="BE7">
        <v>1</v>
      </c>
      <c r="BF7">
        <v>0</v>
      </c>
      <c r="BG7">
        <v>1</v>
      </c>
      <c r="BH7">
        <v>0</v>
      </c>
      <c r="BI7">
        <v>13</v>
      </c>
      <c r="BJ7">
        <v>0</v>
      </c>
      <c r="BK7">
        <v>4</v>
      </c>
      <c r="BL7">
        <v>1</v>
      </c>
      <c r="BM7">
        <v>0</v>
      </c>
      <c r="BN7">
        <v>0</v>
      </c>
      <c r="BO7">
        <v>15</v>
      </c>
      <c r="BP7">
        <v>8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9</v>
      </c>
      <c r="CE7">
        <v>3</v>
      </c>
      <c r="CF7">
        <v>2</v>
      </c>
      <c r="CG7">
        <v>3</v>
      </c>
      <c r="CH7">
        <v>3</v>
      </c>
    </row>
    <row r="8" spans="1:86" x14ac:dyDescent="0.15">
      <c r="A8" t="s">
        <v>36</v>
      </c>
      <c r="B8" t="s">
        <v>38</v>
      </c>
      <c r="C8" t="s">
        <v>32</v>
      </c>
      <c r="D8" t="s">
        <v>53</v>
      </c>
      <c r="E8" t="s">
        <v>220</v>
      </c>
      <c r="F8">
        <v>96</v>
      </c>
      <c r="G8">
        <v>90</v>
      </c>
      <c r="H8">
        <v>35</v>
      </c>
      <c r="I8">
        <v>1</v>
      </c>
      <c r="J8">
        <v>0</v>
      </c>
      <c r="K8">
        <v>4</v>
      </c>
      <c r="L8">
        <v>2</v>
      </c>
      <c r="M8">
        <v>1.18</v>
      </c>
      <c r="N8">
        <v>25</v>
      </c>
      <c r="O8">
        <v>11</v>
      </c>
      <c r="P8">
        <v>1</v>
      </c>
      <c r="Q8">
        <v>0</v>
      </c>
      <c r="R8">
        <v>1</v>
      </c>
      <c r="S8">
        <v>0</v>
      </c>
      <c r="T8">
        <v>7</v>
      </c>
      <c r="U8">
        <v>5</v>
      </c>
      <c r="V8">
        <v>50</v>
      </c>
      <c r="W8">
        <v>22</v>
      </c>
      <c r="X8">
        <v>11</v>
      </c>
      <c r="Y8">
        <v>5</v>
      </c>
      <c r="Z8">
        <v>5</v>
      </c>
      <c r="AA8">
        <v>31</v>
      </c>
      <c r="AB8">
        <v>10</v>
      </c>
      <c r="AC8">
        <v>2</v>
      </c>
      <c r="AD8">
        <v>2</v>
      </c>
      <c r="AE8">
        <v>0</v>
      </c>
      <c r="AF8">
        <v>0</v>
      </c>
      <c r="AG8">
        <v>96</v>
      </c>
      <c r="AH8">
        <v>6</v>
      </c>
      <c r="AI8">
        <v>5</v>
      </c>
      <c r="AJ8">
        <v>11</v>
      </c>
      <c r="AK8">
        <v>5</v>
      </c>
      <c r="AL8">
        <v>8</v>
      </c>
      <c r="AM8">
        <v>4</v>
      </c>
      <c r="AN8">
        <v>2</v>
      </c>
      <c r="AO8">
        <v>1</v>
      </c>
      <c r="AP8">
        <v>5</v>
      </c>
      <c r="AQ8">
        <v>31</v>
      </c>
      <c r="AR8">
        <v>10</v>
      </c>
      <c r="AS8">
        <v>2</v>
      </c>
      <c r="AT8">
        <v>2</v>
      </c>
      <c r="AU8">
        <v>2</v>
      </c>
      <c r="AV8">
        <v>4</v>
      </c>
      <c r="AW8">
        <v>0</v>
      </c>
      <c r="AX8">
        <v>0</v>
      </c>
      <c r="AY8">
        <v>1</v>
      </c>
      <c r="AZ8">
        <v>0</v>
      </c>
      <c r="BA8">
        <v>4</v>
      </c>
      <c r="BB8">
        <v>2</v>
      </c>
      <c r="BC8">
        <v>1.18</v>
      </c>
      <c r="BD8">
        <v>0</v>
      </c>
      <c r="BE8">
        <v>1</v>
      </c>
      <c r="BF8">
        <v>0</v>
      </c>
      <c r="BG8">
        <v>7</v>
      </c>
      <c r="BH8">
        <v>5</v>
      </c>
      <c r="BI8">
        <v>25</v>
      </c>
      <c r="BJ8">
        <v>8</v>
      </c>
      <c r="BK8">
        <v>6</v>
      </c>
      <c r="BL8">
        <v>1</v>
      </c>
      <c r="BM8">
        <v>1</v>
      </c>
      <c r="BN8">
        <v>5</v>
      </c>
      <c r="BO8">
        <v>25</v>
      </c>
      <c r="BP8">
        <v>11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0</v>
      </c>
      <c r="BX8">
        <v>0</v>
      </c>
      <c r="BY8">
        <v>0</v>
      </c>
      <c r="BZ8">
        <v>1</v>
      </c>
      <c r="CA8">
        <v>1</v>
      </c>
      <c r="CB8">
        <v>2</v>
      </c>
      <c r="CC8">
        <v>0</v>
      </c>
      <c r="CD8">
        <v>14</v>
      </c>
      <c r="CE8">
        <v>8</v>
      </c>
      <c r="CF8">
        <v>3</v>
      </c>
      <c r="CG8">
        <v>4</v>
      </c>
      <c r="CH8">
        <v>2</v>
      </c>
    </row>
    <row r="9" spans="1:86" x14ac:dyDescent="0.15">
      <c r="A9" t="s">
        <v>42</v>
      </c>
      <c r="B9" t="s">
        <v>44</v>
      </c>
      <c r="C9" t="s">
        <v>32</v>
      </c>
      <c r="D9" t="s">
        <v>59</v>
      </c>
      <c r="E9" t="s">
        <v>220</v>
      </c>
      <c r="F9">
        <v>44</v>
      </c>
      <c r="G9">
        <v>33</v>
      </c>
      <c r="H9">
        <v>13</v>
      </c>
      <c r="I9">
        <v>1</v>
      </c>
      <c r="J9">
        <v>0</v>
      </c>
      <c r="K9">
        <v>3</v>
      </c>
      <c r="L9">
        <v>1</v>
      </c>
      <c r="M9">
        <v>0.2</v>
      </c>
      <c r="N9">
        <v>17</v>
      </c>
      <c r="O9">
        <v>11</v>
      </c>
      <c r="P9">
        <v>3</v>
      </c>
      <c r="Q9">
        <v>2</v>
      </c>
      <c r="R9">
        <v>0</v>
      </c>
      <c r="S9">
        <v>0</v>
      </c>
      <c r="T9">
        <v>1</v>
      </c>
      <c r="U9">
        <v>0</v>
      </c>
      <c r="V9">
        <v>13</v>
      </c>
      <c r="W9">
        <v>1</v>
      </c>
      <c r="X9">
        <v>4</v>
      </c>
      <c r="Y9">
        <v>0</v>
      </c>
      <c r="Z9">
        <v>2</v>
      </c>
      <c r="AA9">
        <v>7</v>
      </c>
      <c r="AB9">
        <v>2</v>
      </c>
      <c r="AC9">
        <v>0</v>
      </c>
      <c r="AD9">
        <v>0</v>
      </c>
      <c r="AE9">
        <v>0</v>
      </c>
      <c r="AF9">
        <v>0</v>
      </c>
      <c r="AG9">
        <v>44</v>
      </c>
      <c r="AH9">
        <v>0</v>
      </c>
      <c r="AI9">
        <v>0</v>
      </c>
      <c r="AJ9">
        <v>4</v>
      </c>
      <c r="AK9">
        <v>0</v>
      </c>
      <c r="AL9">
        <v>2</v>
      </c>
      <c r="AM9">
        <v>0</v>
      </c>
      <c r="AN9">
        <v>0</v>
      </c>
      <c r="AO9">
        <v>0</v>
      </c>
      <c r="AP9">
        <v>2</v>
      </c>
      <c r="AQ9">
        <v>7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3</v>
      </c>
      <c r="BB9">
        <v>1</v>
      </c>
      <c r="BC9">
        <v>0.2</v>
      </c>
      <c r="BD9">
        <v>0</v>
      </c>
      <c r="BE9">
        <v>0</v>
      </c>
      <c r="BF9">
        <v>0</v>
      </c>
      <c r="BG9">
        <v>1</v>
      </c>
      <c r="BH9">
        <v>0</v>
      </c>
      <c r="BI9">
        <v>7</v>
      </c>
      <c r="BJ9">
        <v>1</v>
      </c>
      <c r="BK9">
        <v>5</v>
      </c>
      <c r="BL9">
        <v>0</v>
      </c>
      <c r="BM9">
        <v>1</v>
      </c>
      <c r="BN9">
        <v>0</v>
      </c>
      <c r="BO9">
        <v>17</v>
      </c>
      <c r="BP9">
        <v>11</v>
      </c>
      <c r="BQ9">
        <v>3</v>
      </c>
      <c r="BR9">
        <v>2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2</v>
      </c>
      <c r="CA9">
        <v>0</v>
      </c>
      <c r="CB9">
        <v>0</v>
      </c>
      <c r="CC9">
        <v>0</v>
      </c>
      <c r="CD9">
        <v>10</v>
      </c>
      <c r="CE9">
        <v>3</v>
      </c>
      <c r="CF9">
        <v>1</v>
      </c>
      <c r="CG9">
        <v>3</v>
      </c>
      <c r="CH9">
        <v>3</v>
      </c>
    </row>
    <row r="10" spans="1:86" x14ac:dyDescent="0.15">
      <c r="A10" t="s">
        <v>46</v>
      </c>
      <c r="B10" t="s">
        <v>48</v>
      </c>
      <c r="C10" t="s">
        <v>32</v>
      </c>
      <c r="D10" t="s">
        <v>65</v>
      </c>
      <c r="E10" t="s">
        <v>220</v>
      </c>
      <c r="F10">
        <v>89</v>
      </c>
      <c r="G10">
        <v>77</v>
      </c>
      <c r="H10">
        <v>40</v>
      </c>
      <c r="I10">
        <v>0</v>
      </c>
      <c r="J10">
        <v>1</v>
      </c>
      <c r="K10">
        <v>2</v>
      </c>
      <c r="L10">
        <v>0</v>
      </c>
      <c r="M10">
        <v>0.09</v>
      </c>
      <c r="N10">
        <v>17</v>
      </c>
      <c r="O10">
        <v>14</v>
      </c>
      <c r="P10">
        <v>0</v>
      </c>
      <c r="Q10">
        <v>0</v>
      </c>
      <c r="R10">
        <v>1</v>
      </c>
      <c r="S10">
        <v>0</v>
      </c>
      <c r="T10">
        <v>4</v>
      </c>
      <c r="U10">
        <v>2</v>
      </c>
      <c r="V10">
        <v>54</v>
      </c>
      <c r="W10">
        <v>26</v>
      </c>
      <c r="X10">
        <v>24</v>
      </c>
      <c r="Y10">
        <v>11</v>
      </c>
      <c r="Z10">
        <v>2</v>
      </c>
      <c r="AA10">
        <v>22</v>
      </c>
      <c r="AB10">
        <v>4</v>
      </c>
      <c r="AC10">
        <v>2</v>
      </c>
      <c r="AD10">
        <v>2</v>
      </c>
      <c r="AE10">
        <v>0</v>
      </c>
      <c r="AF10">
        <v>0</v>
      </c>
      <c r="AG10">
        <v>89</v>
      </c>
      <c r="AH10">
        <v>7</v>
      </c>
      <c r="AI10">
        <v>4</v>
      </c>
      <c r="AJ10">
        <v>24</v>
      </c>
      <c r="AK10">
        <v>11</v>
      </c>
      <c r="AL10">
        <v>7</v>
      </c>
      <c r="AM10">
        <v>3</v>
      </c>
      <c r="AN10">
        <v>0</v>
      </c>
      <c r="AO10">
        <v>0</v>
      </c>
      <c r="AP10">
        <v>2</v>
      </c>
      <c r="AQ10">
        <v>22</v>
      </c>
      <c r="AR10">
        <v>4</v>
      </c>
      <c r="AS10">
        <v>2</v>
      </c>
      <c r="AT10">
        <v>2</v>
      </c>
      <c r="AU10">
        <v>1</v>
      </c>
      <c r="AV10">
        <v>2</v>
      </c>
      <c r="AW10">
        <v>0</v>
      </c>
      <c r="AX10">
        <v>0</v>
      </c>
      <c r="AY10">
        <v>0</v>
      </c>
      <c r="AZ10">
        <v>1</v>
      </c>
      <c r="BA10">
        <v>2</v>
      </c>
      <c r="BB10">
        <v>0</v>
      </c>
      <c r="BC10">
        <v>0.09</v>
      </c>
      <c r="BD10">
        <v>0</v>
      </c>
      <c r="BE10">
        <v>1</v>
      </c>
      <c r="BF10">
        <v>0</v>
      </c>
      <c r="BG10">
        <v>4</v>
      </c>
      <c r="BH10">
        <v>2</v>
      </c>
      <c r="BI10">
        <v>16</v>
      </c>
      <c r="BJ10">
        <v>8</v>
      </c>
      <c r="BK10">
        <v>3</v>
      </c>
      <c r="BL10">
        <v>1</v>
      </c>
      <c r="BM10">
        <v>0</v>
      </c>
      <c r="BN10">
        <v>2</v>
      </c>
      <c r="BO10">
        <v>17</v>
      </c>
      <c r="BP10">
        <v>14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2</v>
      </c>
      <c r="CC10">
        <v>2</v>
      </c>
      <c r="CD10">
        <v>8</v>
      </c>
      <c r="CE10">
        <v>4</v>
      </c>
      <c r="CF10">
        <v>3</v>
      </c>
      <c r="CG10">
        <v>5</v>
      </c>
      <c r="CH10">
        <v>4</v>
      </c>
    </row>
    <row r="11" spans="1:86" x14ac:dyDescent="0.15">
      <c r="A11" t="s">
        <v>52</v>
      </c>
      <c r="B11" t="s">
        <v>54</v>
      </c>
      <c r="C11" t="s">
        <v>32</v>
      </c>
      <c r="D11" t="s">
        <v>70</v>
      </c>
      <c r="E11" t="s">
        <v>220</v>
      </c>
      <c r="F11">
        <v>17</v>
      </c>
      <c r="G11">
        <v>12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4</v>
      </c>
      <c r="O11">
        <v>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3</v>
      </c>
      <c r="X11">
        <v>3</v>
      </c>
      <c r="Y11">
        <v>1</v>
      </c>
      <c r="Z11">
        <v>0</v>
      </c>
      <c r="AA11">
        <v>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17</v>
      </c>
      <c r="AH11">
        <v>1</v>
      </c>
      <c r="AI11">
        <v>1</v>
      </c>
      <c r="AJ11">
        <v>3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3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1</v>
      </c>
      <c r="BK11">
        <v>0</v>
      </c>
      <c r="BL11">
        <v>0</v>
      </c>
      <c r="BM11">
        <v>0</v>
      </c>
      <c r="BN11">
        <v>0</v>
      </c>
      <c r="BO11">
        <v>4</v>
      </c>
      <c r="BP11">
        <v>3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2</v>
      </c>
      <c r="CH11">
        <v>2</v>
      </c>
    </row>
    <row r="12" spans="1:86" x14ac:dyDescent="0.15">
      <c r="A12" t="s">
        <v>58</v>
      </c>
      <c r="B12" t="s">
        <v>60</v>
      </c>
      <c r="C12" t="s">
        <v>32</v>
      </c>
      <c r="D12" t="s">
        <v>74</v>
      </c>
      <c r="E12" t="s">
        <v>220</v>
      </c>
      <c r="F12">
        <v>101</v>
      </c>
      <c r="G12">
        <v>80</v>
      </c>
      <c r="H12">
        <v>39</v>
      </c>
      <c r="I12">
        <v>1</v>
      </c>
      <c r="J12">
        <v>0</v>
      </c>
      <c r="K12">
        <v>6</v>
      </c>
      <c r="L12">
        <v>3</v>
      </c>
      <c r="M12">
        <v>1.1200000000000001</v>
      </c>
      <c r="N12">
        <v>22</v>
      </c>
      <c r="O12">
        <v>14</v>
      </c>
      <c r="P12">
        <v>1</v>
      </c>
      <c r="Q12">
        <v>0</v>
      </c>
      <c r="R12">
        <v>4</v>
      </c>
      <c r="S12">
        <v>2</v>
      </c>
      <c r="T12">
        <v>2</v>
      </c>
      <c r="U12">
        <v>1</v>
      </c>
      <c r="V12">
        <v>42</v>
      </c>
      <c r="W12">
        <v>22</v>
      </c>
      <c r="X12">
        <v>16</v>
      </c>
      <c r="Y12">
        <v>9</v>
      </c>
      <c r="Z12">
        <v>5</v>
      </c>
      <c r="AA12">
        <v>20</v>
      </c>
      <c r="AB12">
        <v>3</v>
      </c>
      <c r="AC12">
        <v>2</v>
      </c>
      <c r="AD12">
        <v>2</v>
      </c>
      <c r="AE12">
        <v>0</v>
      </c>
      <c r="AF12">
        <v>0</v>
      </c>
      <c r="AG12">
        <v>101</v>
      </c>
      <c r="AH12">
        <v>2</v>
      </c>
      <c r="AI12">
        <v>2</v>
      </c>
      <c r="AJ12">
        <v>16</v>
      </c>
      <c r="AK12">
        <v>9</v>
      </c>
      <c r="AL12">
        <v>6</v>
      </c>
      <c r="AM12">
        <v>4</v>
      </c>
      <c r="AN12">
        <v>0</v>
      </c>
      <c r="AO12">
        <v>0</v>
      </c>
      <c r="AP12">
        <v>5</v>
      </c>
      <c r="AQ12">
        <v>20</v>
      </c>
      <c r="AR12">
        <v>3</v>
      </c>
      <c r="AS12">
        <v>2</v>
      </c>
      <c r="AT12">
        <v>2</v>
      </c>
      <c r="AU12">
        <v>2</v>
      </c>
      <c r="AV12">
        <v>2</v>
      </c>
      <c r="AW12">
        <v>0</v>
      </c>
      <c r="AX12">
        <v>0</v>
      </c>
      <c r="AY12">
        <v>1</v>
      </c>
      <c r="AZ12">
        <v>0</v>
      </c>
      <c r="BA12">
        <v>6</v>
      </c>
      <c r="BB12">
        <v>3</v>
      </c>
      <c r="BC12">
        <v>1.1200000000000001</v>
      </c>
      <c r="BD12">
        <v>1</v>
      </c>
      <c r="BE12">
        <v>4</v>
      </c>
      <c r="BF12">
        <v>2</v>
      </c>
      <c r="BG12">
        <v>2</v>
      </c>
      <c r="BH12">
        <v>1</v>
      </c>
      <c r="BI12">
        <v>18</v>
      </c>
      <c r="BJ12">
        <v>7</v>
      </c>
      <c r="BK12">
        <v>10</v>
      </c>
      <c r="BL12">
        <v>1</v>
      </c>
      <c r="BM12">
        <v>2</v>
      </c>
      <c r="BN12">
        <v>1</v>
      </c>
      <c r="BO12">
        <v>22</v>
      </c>
      <c r="BP12">
        <v>14</v>
      </c>
      <c r="BQ12">
        <v>1</v>
      </c>
      <c r="BR12">
        <v>0</v>
      </c>
      <c r="BS12">
        <v>0</v>
      </c>
      <c r="BT12">
        <v>0</v>
      </c>
      <c r="BU12">
        <v>4</v>
      </c>
      <c r="BV12">
        <v>2</v>
      </c>
      <c r="BW12">
        <v>0</v>
      </c>
      <c r="BX12">
        <v>0.15</v>
      </c>
      <c r="BY12">
        <v>0</v>
      </c>
      <c r="BZ12">
        <v>2</v>
      </c>
      <c r="CA12">
        <v>1</v>
      </c>
      <c r="CB12">
        <v>2</v>
      </c>
      <c r="CC12">
        <v>1</v>
      </c>
      <c r="CD12">
        <v>8</v>
      </c>
      <c r="CE12">
        <v>3</v>
      </c>
      <c r="CF12">
        <v>1</v>
      </c>
      <c r="CG12">
        <v>6</v>
      </c>
      <c r="CH12">
        <v>5</v>
      </c>
    </row>
    <row r="13" spans="1:86" x14ac:dyDescent="0.15">
      <c r="A13" t="s">
        <v>64</v>
      </c>
      <c r="B13" t="s">
        <v>66</v>
      </c>
      <c r="C13" t="s">
        <v>32</v>
      </c>
      <c r="D13" t="s">
        <v>78</v>
      </c>
      <c r="E13" t="s">
        <v>220</v>
      </c>
      <c r="F13">
        <v>82</v>
      </c>
      <c r="G13">
        <v>35</v>
      </c>
      <c r="H13">
        <v>14</v>
      </c>
      <c r="I13">
        <v>0</v>
      </c>
      <c r="J13">
        <v>0</v>
      </c>
      <c r="K13">
        <v>0</v>
      </c>
      <c r="L13">
        <v>0</v>
      </c>
      <c r="M13">
        <v>0</v>
      </c>
      <c r="N13">
        <v>8</v>
      </c>
      <c r="O13">
        <v>5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24</v>
      </c>
      <c r="W13">
        <v>9</v>
      </c>
      <c r="X13">
        <v>8</v>
      </c>
      <c r="Y13">
        <v>4</v>
      </c>
      <c r="Z13">
        <v>1</v>
      </c>
      <c r="AA13">
        <v>19</v>
      </c>
      <c r="AB13">
        <v>3</v>
      </c>
      <c r="AC13">
        <v>1</v>
      </c>
      <c r="AD13">
        <v>1</v>
      </c>
      <c r="AE13">
        <v>0</v>
      </c>
      <c r="AF13">
        <v>0</v>
      </c>
      <c r="AG13">
        <v>82</v>
      </c>
      <c r="AH13">
        <v>5</v>
      </c>
      <c r="AI13">
        <v>2</v>
      </c>
      <c r="AJ13">
        <v>8</v>
      </c>
      <c r="AK13">
        <v>4</v>
      </c>
      <c r="AL13">
        <v>3</v>
      </c>
      <c r="AM13">
        <v>2</v>
      </c>
      <c r="AN13">
        <v>0</v>
      </c>
      <c r="AO13">
        <v>0</v>
      </c>
      <c r="AP13">
        <v>1</v>
      </c>
      <c r="AQ13">
        <v>19</v>
      </c>
      <c r="AR13">
        <v>3</v>
      </c>
      <c r="AS13">
        <v>1</v>
      </c>
      <c r="AT13">
        <v>1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1</v>
      </c>
      <c r="BI13">
        <v>8</v>
      </c>
      <c r="BJ13">
        <v>1</v>
      </c>
      <c r="BK13">
        <v>0</v>
      </c>
      <c r="BL13">
        <v>0</v>
      </c>
      <c r="BM13">
        <v>1</v>
      </c>
      <c r="BN13">
        <v>1</v>
      </c>
      <c r="BO13">
        <v>8</v>
      </c>
      <c r="BP13">
        <v>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2</v>
      </c>
      <c r="CA13">
        <v>1</v>
      </c>
      <c r="CB13">
        <v>0</v>
      </c>
      <c r="CC13">
        <v>0</v>
      </c>
      <c r="CD13">
        <v>5</v>
      </c>
      <c r="CE13">
        <v>3</v>
      </c>
      <c r="CF13">
        <v>2</v>
      </c>
      <c r="CG13">
        <v>3</v>
      </c>
      <c r="CH13">
        <v>3</v>
      </c>
    </row>
    <row r="14" spans="1:86" x14ac:dyDescent="0.15">
      <c r="A14" t="s">
        <v>69</v>
      </c>
      <c r="B14" t="s">
        <v>71</v>
      </c>
      <c r="C14" t="s">
        <v>32</v>
      </c>
      <c r="D14" t="s">
        <v>81</v>
      </c>
      <c r="E14" t="s">
        <v>220</v>
      </c>
      <c r="F14">
        <v>99</v>
      </c>
      <c r="G14">
        <v>61</v>
      </c>
      <c r="H14">
        <v>22</v>
      </c>
      <c r="I14">
        <v>0</v>
      </c>
      <c r="J14">
        <v>0</v>
      </c>
      <c r="K14">
        <v>1</v>
      </c>
      <c r="L14">
        <v>0</v>
      </c>
      <c r="M14">
        <v>0.01</v>
      </c>
      <c r="N14">
        <v>17</v>
      </c>
      <c r="O14">
        <v>13</v>
      </c>
      <c r="P14">
        <v>0</v>
      </c>
      <c r="Q14">
        <v>0</v>
      </c>
      <c r="R14">
        <v>0</v>
      </c>
      <c r="S14">
        <v>0</v>
      </c>
      <c r="T14">
        <v>2</v>
      </c>
      <c r="U14">
        <v>1</v>
      </c>
      <c r="V14">
        <v>40</v>
      </c>
      <c r="W14">
        <v>9</v>
      </c>
      <c r="X14">
        <v>18</v>
      </c>
      <c r="Y14">
        <v>6</v>
      </c>
      <c r="Z14">
        <v>0</v>
      </c>
      <c r="AA14">
        <v>17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99</v>
      </c>
      <c r="AH14">
        <v>1</v>
      </c>
      <c r="AI14">
        <v>1</v>
      </c>
      <c r="AJ14">
        <v>18</v>
      </c>
      <c r="AK14">
        <v>6</v>
      </c>
      <c r="AL14">
        <v>5</v>
      </c>
      <c r="AM14">
        <v>0</v>
      </c>
      <c r="AN14">
        <v>0</v>
      </c>
      <c r="AO14">
        <v>0</v>
      </c>
      <c r="AP14">
        <v>0</v>
      </c>
      <c r="AQ14">
        <v>17</v>
      </c>
      <c r="AR14">
        <v>1</v>
      </c>
      <c r="AS14">
        <v>1</v>
      </c>
      <c r="AT14">
        <v>1</v>
      </c>
      <c r="AU14">
        <v>0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1</v>
      </c>
      <c r="BB14">
        <v>0</v>
      </c>
      <c r="BC14">
        <v>0.01</v>
      </c>
      <c r="BD14">
        <v>0</v>
      </c>
      <c r="BE14">
        <v>0</v>
      </c>
      <c r="BF14">
        <v>0</v>
      </c>
      <c r="BG14">
        <v>2</v>
      </c>
      <c r="BH14">
        <v>1</v>
      </c>
      <c r="BI14">
        <v>16</v>
      </c>
      <c r="BJ14">
        <v>2</v>
      </c>
      <c r="BK14">
        <v>0</v>
      </c>
      <c r="BL14">
        <v>0</v>
      </c>
      <c r="BM14">
        <v>0</v>
      </c>
      <c r="BN14">
        <v>1</v>
      </c>
      <c r="BO14">
        <v>17</v>
      </c>
      <c r="BP14">
        <v>13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0</v>
      </c>
      <c r="CD14">
        <v>9</v>
      </c>
      <c r="CE14">
        <v>2</v>
      </c>
      <c r="CF14">
        <v>1</v>
      </c>
      <c r="CG14">
        <v>7</v>
      </c>
      <c r="CH14">
        <v>7</v>
      </c>
    </row>
    <row r="15" spans="1:86" x14ac:dyDescent="0.15">
      <c r="A15" t="s">
        <v>73</v>
      </c>
      <c r="B15" t="s">
        <v>75</v>
      </c>
      <c r="C15" t="s">
        <v>32</v>
      </c>
      <c r="D15" t="s">
        <v>87</v>
      </c>
      <c r="E15" t="s">
        <v>220</v>
      </c>
      <c r="F15">
        <v>21</v>
      </c>
      <c r="G15">
        <v>17</v>
      </c>
      <c r="H15">
        <v>6</v>
      </c>
      <c r="I15">
        <v>1</v>
      </c>
      <c r="J15">
        <v>0</v>
      </c>
      <c r="K15">
        <v>1</v>
      </c>
      <c r="L15">
        <v>1</v>
      </c>
      <c r="M15">
        <v>0.46</v>
      </c>
      <c r="N15">
        <v>4</v>
      </c>
      <c r="O15">
        <v>3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8</v>
      </c>
      <c r="W15">
        <v>2</v>
      </c>
      <c r="X15">
        <v>4</v>
      </c>
      <c r="Y15">
        <v>1</v>
      </c>
      <c r="Z15">
        <v>3</v>
      </c>
      <c r="AA15">
        <v>7</v>
      </c>
      <c r="AB15">
        <v>2</v>
      </c>
      <c r="AC15">
        <v>2</v>
      </c>
      <c r="AD15">
        <v>2</v>
      </c>
      <c r="AE15">
        <v>0</v>
      </c>
      <c r="AF15">
        <v>0</v>
      </c>
      <c r="AG15">
        <v>21</v>
      </c>
      <c r="AH15">
        <v>0</v>
      </c>
      <c r="AI15">
        <v>0</v>
      </c>
      <c r="AJ15">
        <v>4</v>
      </c>
      <c r="AK15">
        <v>1</v>
      </c>
      <c r="AL15">
        <v>1</v>
      </c>
      <c r="AM15">
        <v>1</v>
      </c>
      <c r="AN15">
        <v>0</v>
      </c>
      <c r="AO15">
        <v>0</v>
      </c>
      <c r="AP15">
        <v>3</v>
      </c>
      <c r="AQ15">
        <v>7</v>
      </c>
      <c r="AR15">
        <v>2</v>
      </c>
      <c r="AS15">
        <v>2</v>
      </c>
      <c r="AT15">
        <v>2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1</v>
      </c>
      <c r="BC15">
        <v>0.46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3</v>
      </c>
      <c r="BJ15">
        <v>0</v>
      </c>
      <c r="BK15">
        <v>2</v>
      </c>
      <c r="BL15">
        <v>1</v>
      </c>
      <c r="BM15">
        <v>0</v>
      </c>
      <c r="BN15">
        <v>0</v>
      </c>
      <c r="BO15">
        <v>4</v>
      </c>
      <c r="BP15">
        <v>3</v>
      </c>
      <c r="BQ15">
        <v>0</v>
      </c>
      <c r="BR15">
        <v>0</v>
      </c>
      <c r="BS15">
        <v>0</v>
      </c>
      <c r="BT15">
        <v>0</v>
      </c>
      <c r="BU15">
        <v>1</v>
      </c>
      <c r="BV15">
        <v>1</v>
      </c>
      <c r="BW15">
        <v>0</v>
      </c>
      <c r="BX15">
        <v>0.33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7</v>
      </c>
      <c r="CE15">
        <v>2</v>
      </c>
      <c r="CF15">
        <v>2</v>
      </c>
      <c r="CG15">
        <v>0</v>
      </c>
      <c r="CH15">
        <v>0</v>
      </c>
    </row>
    <row r="16" spans="1:86" x14ac:dyDescent="0.15">
      <c r="A16" t="s">
        <v>103</v>
      </c>
      <c r="B16" t="s">
        <v>105</v>
      </c>
      <c r="C16" t="s">
        <v>106</v>
      </c>
      <c r="D16" t="s">
        <v>104</v>
      </c>
      <c r="E16" t="s">
        <v>220</v>
      </c>
      <c r="F16">
        <v>85</v>
      </c>
      <c r="G16">
        <v>57</v>
      </c>
      <c r="H16">
        <v>23</v>
      </c>
      <c r="I16">
        <v>0</v>
      </c>
      <c r="J16">
        <v>0</v>
      </c>
      <c r="K16">
        <v>6</v>
      </c>
      <c r="L16">
        <v>2</v>
      </c>
      <c r="M16">
        <v>0.42</v>
      </c>
      <c r="N16">
        <v>21</v>
      </c>
      <c r="O16">
        <v>11</v>
      </c>
      <c r="P16">
        <v>2</v>
      </c>
      <c r="Q16">
        <v>0</v>
      </c>
      <c r="R16">
        <v>1</v>
      </c>
      <c r="S16">
        <v>0</v>
      </c>
      <c r="T16">
        <v>2</v>
      </c>
      <c r="U16">
        <v>1</v>
      </c>
      <c r="V16">
        <v>22</v>
      </c>
      <c r="W16">
        <v>10</v>
      </c>
      <c r="X16">
        <v>7</v>
      </c>
      <c r="Y16">
        <v>4</v>
      </c>
      <c r="Z16">
        <v>1</v>
      </c>
      <c r="AA16">
        <v>20</v>
      </c>
      <c r="AB16">
        <v>4</v>
      </c>
      <c r="AC16">
        <v>0</v>
      </c>
      <c r="AD16">
        <v>6</v>
      </c>
      <c r="AE16">
        <v>0</v>
      </c>
      <c r="AF16">
        <v>0</v>
      </c>
      <c r="AG16">
        <v>6</v>
      </c>
      <c r="AH16">
        <v>3</v>
      </c>
      <c r="AI16">
        <v>7</v>
      </c>
      <c r="AJ16">
        <v>4</v>
      </c>
      <c r="AK16">
        <v>1</v>
      </c>
      <c r="AL16">
        <v>1</v>
      </c>
      <c r="AM16">
        <v>0</v>
      </c>
      <c r="AN16">
        <v>0</v>
      </c>
      <c r="AO16">
        <v>1</v>
      </c>
      <c r="AP16">
        <v>20</v>
      </c>
      <c r="AQ16">
        <v>4</v>
      </c>
      <c r="AR16">
        <v>0</v>
      </c>
      <c r="AS16">
        <v>6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6</v>
      </c>
      <c r="BA16">
        <v>2</v>
      </c>
      <c r="BB16">
        <v>0.42</v>
      </c>
      <c r="BC16">
        <v>0</v>
      </c>
      <c r="BD16">
        <v>1</v>
      </c>
      <c r="BE16">
        <v>0</v>
      </c>
      <c r="BF16">
        <v>2</v>
      </c>
      <c r="BG16">
        <v>1</v>
      </c>
      <c r="BH16">
        <v>8</v>
      </c>
      <c r="BI16">
        <v>2</v>
      </c>
      <c r="BJ16">
        <v>6</v>
      </c>
      <c r="BK16">
        <v>2</v>
      </c>
      <c r="BL16">
        <v>0</v>
      </c>
      <c r="BM16">
        <v>1</v>
      </c>
      <c r="BN16">
        <v>21</v>
      </c>
      <c r="BO16">
        <v>11</v>
      </c>
      <c r="BP16">
        <v>2</v>
      </c>
      <c r="BQ16">
        <v>0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11</v>
      </c>
      <c r="CD16">
        <v>5</v>
      </c>
      <c r="CE16">
        <v>3</v>
      </c>
      <c r="CF16">
        <v>3</v>
      </c>
      <c r="CG16">
        <v>3</v>
      </c>
    </row>
    <row r="17" spans="1:85" x14ac:dyDescent="0.15">
      <c r="A17" t="s">
        <v>214</v>
      </c>
      <c r="B17" t="s">
        <v>215</v>
      </c>
      <c r="C17" t="s">
        <v>106</v>
      </c>
      <c r="D17" t="s">
        <v>216</v>
      </c>
      <c r="E17" t="s">
        <v>220</v>
      </c>
      <c r="F17">
        <v>83</v>
      </c>
      <c r="G17">
        <v>36</v>
      </c>
      <c r="H17">
        <v>15</v>
      </c>
      <c r="I17">
        <v>2</v>
      </c>
      <c r="J17">
        <v>1</v>
      </c>
      <c r="K17">
        <v>3</v>
      </c>
      <c r="L17">
        <v>2</v>
      </c>
      <c r="M17">
        <v>0.64</v>
      </c>
      <c r="N17">
        <v>13</v>
      </c>
      <c r="O17">
        <v>7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12</v>
      </c>
      <c r="W17">
        <v>5</v>
      </c>
      <c r="X17">
        <v>4</v>
      </c>
      <c r="Y17">
        <v>2</v>
      </c>
      <c r="Z17">
        <v>3</v>
      </c>
      <c r="AA17">
        <v>3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6</v>
      </c>
      <c r="AH17">
        <v>2</v>
      </c>
      <c r="AI17">
        <v>4</v>
      </c>
      <c r="AJ17">
        <v>2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3</v>
      </c>
      <c r="AQ17">
        <v>2</v>
      </c>
      <c r="AR17">
        <v>0</v>
      </c>
      <c r="AS17">
        <v>0</v>
      </c>
      <c r="AT17">
        <v>0</v>
      </c>
      <c r="AU17">
        <v>4</v>
      </c>
      <c r="AV17">
        <v>0</v>
      </c>
      <c r="AW17">
        <v>0</v>
      </c>
      <c r="AX17">
        <v>2</v>
      </c>
      <c r="AY17">
        <v>1</v>
      </c>
      <c r="AZ17">
        <v>3</v>
      </c>
      <c r="BA17">
        <v>2</v>
      </c>
      <c r="BB17">
        <v>0.64</v>
      </c>
      <c r="BC17">
        <v>0</v>
      </c>
      <c r="BD17">
        <v>0</v>
      </c>
      <c r="BE17">
        <v>0</v>
      </c>
      <c r="BF17">
        <v>1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13</v>
      </c>
      <c r="BO17">
        <v>7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4</v>
      </c>
      <c r="BZ17">
        <v>1</v>
      </c>
      <c r="CA17">
        <v>0</v>
      </c>
      <c r="CB17">
        <v>0</v>
      </c>
      <c r="CC17">
        <v>15</v>
      </c>
      <c r="CD17">
        <v>6</v>
      </c>
      <c r="CE17">
        <v>3</v>
      </c>
      <c r="CF17">
        <v>3</v>
      </c>
      <c r="CG17">
        <v>3</v>
      </c>
    </row>
  </sheetData>
  <mergeCells count="28">
    <mergeCell ref="K1:L1"/>
    <mergeCell ref="AH1:AI1"/>
    <mergeCell ref="N1:O1"/>
    <mergeCell ref="AA1:AB1"/>
    <mergeCell ref="P1:Q1"/>
    <mergeCell ref="AS1:AT1"/>
    <mergeCell ref="V1:W1"/>
    <mergeCell ref="AQ1:AR1"/>
    <mergeCell ref="BE1:BF1"/>
    <mergeCell ref="AN1:AO1"/>
    <mergeCell ref="BG1:BH1"/>
    <mergeCell ref="BQ1:BR1"/>
    <mergeCell ref="CE1:CF1"/>
    <mergeCell ref="BZ1:CA1"/>
    <mergeCell ref="CG1:CH1"/>
    <mergeCell ref="X1:Y1"/>
    <mergeCell ref="G1:H1"/>
    <mergeCell ref="AJ1:AK1"/>
    <mergeCell ref="BA1:BB1"/>
    <mergeCell ref="AL1:AM1"/>
    <mergeCell ref="BI1:BJ1"/>
    <mergeCell ref="CB1:CC1"/>
    <mergeCell ref="BO1:BP1"/>
    <mergeCell ref="R1:S1"/>
    <mergeCell ref="BS1:BT1"/>
    <mergeCell ref="BU1:BV1"/>
    <mergeCell ref="T1:U1"/>
    <mergeCell ref="AC1:AD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G15"/>
  <sheetViews>
    <sheetView workbookViewId="0">
      <selection activeCell="I34" sqref="I34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5" t="s">
        <v>182</v>
      </c>
      <c r="H1" s="5"/>
      <c r="I1" t="s">
        <v>7</v>
      </c>
      <c r="J1" t="s">
        <v>183</v>
      </c>
      <c r="K1" s="5" t="s">
        <v>184</v>
      </c>
      <c r="L1" s="5"/>
      <c r="M1" t="s">
        <v>8</v>
      </c>
      <c r="N1" s="5" t="s">
        <v>185</v>
      </c>
      <c r="O1" s="5"/>
      <c r="P1" s="5" t="s">
        <v>186</v>
      </c>
      <c r="Q1" s="5"/>
      <c r="R1" s="5" t="s">
        <v>187</v>
      </c>
      <c r="S1" s="5"/>
      <c r="T1" s="5" t="s">
        <v>188</v>
      </c>
      <c r="U1" s="5"/>
      <c r="V1" s="5" t="s">
        <v>189</v>
      </c>
      <c r="W1" s="5"/>
      <c r="X1" s="5" t="s">
        <v>190</v>
      </c>
      <c r="Y1" s="5"/>
      <c r="Z1" t="s">
        <v>144</v>
      </c>
      <c r="AA1" s="5" t="s">
        <v>191</v>
      </c>
      <c r="AB1" s="5"/>
      <c r="AC1" s="5" t="s">
        <v>192</v>
      </c>
      <c r="AD1" s="5"/>
      <c r="AE1" t="s">
        <v>193</v>
      </c>
      <c r="AF1" t="s">
        <v>194</v>
      </c>
      <c r="AG1" s="5" t="s">
        <v>195</v>
      </c>
      <c r="AH1" s="5"/>
      <c r="AI1" s="5" t="s">
        <v>190</v>
      </c>
      <c r="AJ1" s="5"/>
      <c r="AK1" s="5" t="s">
        <v>196</v>
      </c>
      <c r="AL1" s="5"/>
      <c r="AM1" s="5" t="s">
        <v>197</v>
      </c>
      <c r="AN1" s="5"/>
      <c r="AO1" t="s">
        <v>144</v>
      </c>
      <c r="AP1" s="5" t="s">
        <v>191</v>
      </c>
      <c r="AQ1" s="5"/>
      <c r="AR1" s="5" t="s">
        <v>192</v>
      </c>
      <c r="AS1" s="5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5" t="s">
        <v>184</v>
      </c>
      <c r="BA1" s="5"/>
      <c r="BB1" t="s">
        <v>8</v>
      </c>
      <c r="BC1" t="s">
        <v>198</v>
      </c>
      <c r="BD1" s="5" t="s">
        <v>187</v>
      </c>
      <c r="BE1" s="5"/>
      <c r="BF1" s="5" t="s">
        <v>188</v>
      </c>
      <c r="BG1" s="5"/>
      <c r="BH1" s="5" t="s">
        <v>199</v>
      </c>
      <c r="BI1" s="5"/>
      <c r="BJ1" t="s">
        <v>200</v>
      </c>
      <c r="BK1" t="s">
        <v>130</v>
      </c>
      <c r="BL1" t="s">
        <v>201</v>
      </c>
      <c r="BM1" t="s">
        <v>202</v>
      </c>
      <c r="BN1" s="5" t="s">
        <v>185</v>
      </c>
      <c r="BO1" s="5"/>
      <c r="BP1" s="5" t="s">
        <v>186</v>
      </c>
      <c r="BQ1" s="5"/>
      <c r="BR1" s="5" t="s">
        <v>203</v>
      </c>
      <c r="BS1" s="5"/>
      <c r="BT1" s="5" t="s">
        <v>187</v>
      </c>
      <c r="BU1" s="5"/>
      <c r="BV1" t="s">
        <v>183</v>
      </c>
      <c r="BW1" t="s">
        <v>204</v>
      </c>
      <c r="BX1" t="s">
        <v>205</v>
      </c>
      <c r="BY1" s="5" t="s">
        <v>206</v>
      </c>
      <c r="BZ1" s="5"/>
      <c r="CA1" s="5" t="s">
        <v>207</v>
      </c>
      <c r="CB1" s="5"/>
      <c r="CC1" t="s">
        <v>208</v>
      </c>
      <c r="CD1" s="5" t="s">
        <v>209</v>
      </c>
      <c r="CE1" s="5"/>
      <c r="CF1" s="5" t="s">
        <v>210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220</v>
      </c>
      <c r="F2">
        <v>47</v>
      </c>
      <c r="G2">
        <v>31</v>
      </c>
      <c r="H2">
        <v>20</v>
      </c>
      <c r="I2">
        <v>0</v>
      </c>
      <c r="J2">
        <v>0</v>
      </c>
      <c r="K2">
        <v>0</v>
      </c>
      <c r="L2">
        <v>0</v>
      </c>
      <c r="M2">
        <v>0</v>
      </c>
      <c r="N2">
        <v>18</v>
      </c>
      <c r="O2">
        <v>13</v>
      </c>
      <c r="P2">
        <v>2</v>
      </c>
      <c r="Q2">
        <v>1</v>
      </c>
      <c r="R2">
        <v>0</v>
      </c>
      <c r="S2">
        <v>0</v>
      </c>
      <c r="T2">
        <v>5</v>
      </c>
      <c r="U2">
        <v>4</v>
      </c>
      <c r="V2">
        <v>11</v>
      </c>
      <c r="W2">
        <v>7</v>
      </c>
      <c r="X2">
        <v>2</v>
      </c>
      <c r="Y2">
        <v>1</v>
      </c>
      <c r="Z2">
        <v>0</v>
      </c>
      <c r="AA2">
        <v>7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7</v>
      </c>
      <c r="AQ2">
        <v>1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5</v>
      </c>
      <c r="BG2">
        <v>4</v>
      </c>
      <c r="BH2">
        <v>9</v>
      </c>
      <c r="BI2">
        <v>6</v>
      </c>
      <c r="BJ2">
        <v>0</v>
      </c>
      <c r="BK2">
        <v>0</v>
      </c>
      <c r="BL2">
        <v>2</v>
      </c>
      <c r="BM2">
        <v>2</v>
      </c>
      <c r="BN2">
        <v>18</v>
      </c>
      <c r="BO2">
        <v>13</v>
      </c>
      <c r="BP2">
        <v>2</v>
      </c>
      <c r="BQ2">
        <v>1</v>
      </c>
      <c r="BR2">
        <v>1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1</v>
      </c>
      <c r="CA2">
        <v>1</v>
      </c>
      <c r="CB2">
        <v>0</v>
      </c>
      <c r="CC2">
        <v>17</v>
      </c>
      <c r="CD2">
        <v>4</v>
      </c>
      <c r="CE2">
        <v>1</v>
      </c>
      <c r="CF2">
        <v>3</v>
      </c>
      <c r="CG2">
        <v>3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220</v>
      </c>
      <c r="F3">
        <v>48</v>
      </c>
      <c r="G3">
        <v>27</v>
      </c>
      <c r="H3">
        <v>10</v>
      </c>
      <c r="I3">
        <v>0</v>
      </c>
      <c r="J3">
        <v>0</v>
      </c>
      <c r="K3">
        <v>1</v>
      </c>
      <c r="L3">
        <v>0</v>
      </c>
      <c r="M3">
        <v>0.12</v>
      </c>
      <c r="N3">
        <v>13</v>
      </c>
      <c r="O3">
        <v>6</v>
      </c>
      <c r="P3">
        <v>0</v>
      </c>
      <c r="Q3">
        <v>0</v>
      </c>
      <c r="R3">
        <v>2</v>
      </c>
      <c r="S3">
        <v>0</v>
      </c>
      <c r="T3">
        <v>4</v>
      </c>
      <c r="U3">
        <v>2</v>
      </c>
      <c r="V3">
        <v>9</v>
      </c>
      <c r="W3">
        <v>3</v>
      </c>
      <c r="X3">
        <v>0</v>
      </c>
      <c r="Y3">
        <v>0</v>
      </c>
      <c r="Z3">
        <v>1</v>
      </c>
      <c r="AA3">
        <v>8</v>
      </c>
      <c r="AB3">
        <v>1</v>
      </c>
      <c r="AC3">
        <v>2</v>
      </c>
      <c r="AD3">
        <v>2</v>
      </c>
      <c r="AE3">
        <v>0</v>
      </c>
      <c r="AF3">
        <v>0</v>
      </c>
      <c r="AG3">
        <v>3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  <c r="AP3">
        <v>8</v>
      </c>
      <c r="AQ3">
        <v>1</v>
      </c>
      <c r="AR3">
        <v>2</v>
      </c>
      <c r="AS3">
        <v>2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0</v>
      </c>
      <c r="BD3">
        <v>2</v>
      </c>
      <c r="BE3">
        <v>0</v>
      </c>
      <c r="BF3">
        <v>4</v>
      </c>
      <c r="BG3">
        <v>2</v>
      </c>
      <c r="BH3">
        <v>6</v>
      </c>
      <c r="BI3">
        <v>2</v>
      </c>
      <c r="BJ3">
        <v>3</v>
      </c>
      <c r="BK3">
        <v>0</v>
      </c>
      <c r="BL3">
        <v>1</v>
      </c>
      <c r="BM3">
        <v>0</v>
      </c>
      <c r="BN3">
        <v>13</v>
      </c>
      <c r="BO3">
        <v>6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4</v>
      </c>
      <c r="CB3">
        <v>1</v>
      </c>
      <c r="CC3">
        <v>8</v>
      </c>
      <c r="CD3">
        <v>6</v>
      </c>
      <c r="CE3">
        <v>3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243</v>
      </c>
      <c r="F4">
        <v>93</v>
      </c>
      <c r="G4">
        <v>56</v>
      </c>
      <c r="H4">
        <v>34</v>
      </c>
      <c r="I4">
        <v>0</v>
      </c>
      <c r="J4">
        <v>0</v>
      </c>
      <c r="K4">
        <v>1</v>
      </c>
      <c r="L4">
        <v>0</v>
      </c>
      <c r="M4">
        <v>0.17</v>
      </c>
      <c r="N4">
        <v>27</v>
      </c>
      <c r="O4">
        <v>20</v>
      </c>
      <c r="P4">
        <v>0</v>
      </c>
      <c r="Q4">
        <v>0</v>
      </c>
      <c r="R4">
        <v>5</v>
      </c>
      <c r="S4">
        <v>2</v>
      </c>
      <c r="T4">
        <v>10</v>
      </c>
      <c r="U4">
        <v>6</v>
      </c>
      <c r="V4">
        <v>22</v>
      </c>
      <c r="W4">
        <v>13</v>
      </c>
      <c r="X4">
        <v>1</v>
      </c>
      <c r="Y4">
        <v>1</v>
      </c>
      <c r="Z4">
        <v>6</v>
      </c>
      <c r="AA4">
        <v>12</v>
      </c>
      <c r="AB4">
        <v>2</v>
      </c>
      <c r="AC4">
        <v>5</v>
      </c>
      <c r="AD4">
        <v>2</v>
      </c>
      <c r="AE4">
        <v>0</v>
      </c>
      <c r="AF4">
        <v>0</v>
      </c>
      <c r="AG4">
        <v>2</v>
      </c>
      <c r="AH4">
        <v>2</v>
      </c>
      <c r="AI4">
        <v>1</v>
      </c>
      <c r="AJ4">
        <v>1</v>
      </c>
      <c r="AK4">
        <v>3</v>
      </c>
      <c r="AL4">
        <v>2</v>
      </c>
      <c r="AM4">
        <v>0</v>
      </c>
      <c r="AN4">
        <v>0</v>
      </c>
      <c r="AO4">
        <v>6</v>
      </c>
      <c r="AP4">
        <v>12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0.17</v>
      </c>
      <c r="BC4">
        <v>1</v>
      </c>
      <c r="BD4">
        <v>5</v>
      </c>
      <c r="BE4">
        <v>2</v>
      </c>
      <c r="BF4">
        <v>10</v>
      </c>
      <c r="BG4">
        <v>6</v>
      </c>
      <c r="BH4">
        <v>16</v>
      </c>
      <c r="BI4">
        <v>8</v>
      </c>
      <c r="BJ4">
        <v>1</v>
      </c>
      <c r="BK4">
        <v>0</v>
      </c>
      <c r="BL4">
        <v>4</v>
      </c>
      <c r="BM4">
        <v>0</v>
      </c>
      <c r="BN4">
        <v>27</v>
      </c>
      <c r="BO4">
        <v>20</v>
      </c>
      <c r="BP4">
        <v>0</v>
      </c>
      <c r="BQ4">
        <v>0</v>
      </c>
      <c r="BR4">
        <v>1</v>
      </c>
      <c r="BS4">
        <v>0</v>
      </c>
      <c r="BT4">
        <v>5</v>
      </c>
      <c r="BU4">
        <v>2</v>
      </c>
      <c r="BV4">
        <v>0</v>
      </c>
      <c r="BW4">
        <v>0.09</v>
      </c>
      <c r="BX4">
        <v>0</v>
      </c>
      <c r="BY4">
        <v>1</v>
      </c>
      <c r="BZ4">
        <v>1</v>
      </c>
      <c r="CA4">
        <v>8</v>
      </c>
      <c r="CB4">
        <v>4</v>
      </c>
      <c r="CC4">
        <v>15</v>
      </c>
      <c r="CD4">
        <v>8</v>
      </c>
      <c r="CE4">
        <v>6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237</v>
      </c>
      <c r="F5">
        <v>78</v>
      </c>
      <c r="G5">
        <v>49</v>
      </c>
      <c r="H5">
        <v>25</v>
      </c>
      <c r="I5">
        <v>2</v>
      </c>
      <c r="J5">
        <v>0</v>
      </c>
      <c r="K5">
        <v>3</v>
      </c>
      <c r="L5">
        <v>2</v>
      </c>
      <c r="M5">
        <v>0.68</v>
      </c>
      <c r="N5">
        <v>18</v>
      </c>
      <c r="O5">
        <v>11</v>
      </c>
      <c r="P5">
        <v>0</v>
      </c>
      <c r="Q5">
        <v>0</v>
      </c>
      <c r="R5">
        <v>5</v>
      </c>
      <c r="S5">
        <v>2</v>
      </c>
      <c r="T5">
        <v>11</v>
      </c>
      <c r="U5">
        <v>6</v>
      </c>
      <c r="V5">
        <v>23</v>
      </c>
      <c r="W5">
        <v>12</v>
      </c>
      <c r="X5">
        <v>1</v>
      </c>
      <c r="Y5">
        <v>0</v>
      </c>
      <c r="Z5">
        <v>0</v>
      </c>
      <c r="AA5">
        <v>12</v>
      </c>
      <c r="AB5">
        <v>3</v>
      </c>
      <c r="AC5">
        <v>4</v>
      </c>
      <c r="AD5">
        <v>3</v>
      </c>
      <c r="AE5">
        <v>0</v>
      </c>
      <c r="AF5">
        <v>0</v>
      </c>
      <c r="AG5">
        <v>5</v>
      </c>
      <c r="AH5">
        <v>4</v>
      </c>
      <c r="AI5">
        <v>1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12</v>
      </c>
      <c r="AQ5">
        <v>3</v>
      </c>
      <c r="AR5">
        <v>4</v>
      </c>
      <c r="AS5">
        <v>3</v>
      </c>
      <c r="AT5">
        <v>0</v>
      </c>
      <c r="AU5">
        <v>2</v>
      </c>
      <c r="AV5">
        <v>0</v>
      </c>
      <c r="AW5">
        <v>0</v>
      </c>
      <c r="AX5">
        <v>2</v>
      </c>
      <c r="AY5">
        <v>0</v>
      </c>
      <c r="AZ5">
        <v>3</v>
      </c>
      <c r="BA5">
        <v>2</v>
      </c>
      <c r="BB5">
        <v>0.68</v>
      </c>
      <c r="BC5">
        <v>1</v>
      </c>
      <c r="BD5">
        <v>5</v>
      </c>
      <c r="BE5">
        <v>2</v>
      </c>
      <c r="BF5">
        <v>11</v>
      </c>
      <c r="BG5">
        <v>6</v>
      </c>
      <c r="BH5">
        <v>16</v>
      </c>
      <c r="BI5">
        <v>8</v>
      </c>
      <c r="BJ5">
        <v>5</v>
      </c>
      <c r="BK5">
        <v>1</v>
      </c>
      <c r="BL5">
        <v>3</v>
      </c>
      <c r="BM5">
        <v>1</v>
      </c>
      <c r="BN5">
        <v>18</v>
      </c>
      <c r="BO5">
        <v>11</v>
      </c>
      <c r="BP5">
        <v>0</v>
      </c>
      <c r="BQ5">
        <v>0</v>
      </c>
      <c r="BR5">
        <v>0</v>
      </c>
      <c r="BS5">
        <v>0</v>
      </c>
      <c r="BT5">
        <v>5</v>
      </c>
      <c r="BU5">
        <v>2</v>
      </c>
      <c r="BV5">
        <v>0</v>
      </c>
      <c r="BW5">
        <v>0.06</v>
      </c>
      <c r="BX5">
        <v>0</v>
      </c>
      <c r="BY5">
        <v>1</v>
      </c>
      <c r="BZ5">
        <v>1</v>
      </c>
      <c r="CA5">
        <v>5</v>
      </c>
      <c r="CB5">
        <v>2</v>
      </c>
      <c r="CC5">
        <v>17</v>
      </c>
      <c r="CD5">
        <v>6</v>
      </c>
      <c r="CE5">
        <v>4</v>
      </c>
      <c r="CF5">
        <v>2</v>
      </c>
      <c r="CG5">
        <v>1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246</v>
      </c>
      <c r="F6">
        <v>100</v>
      </c>
      <c r="G6">
        <v>55</v>
      </c>
      <c r="H6">
        <v>29</v>
      </c>
      <c r="I6">
        <v>0</v>
      </c>
      <c r="J6">
        <v>0</v>
      </c>
      <c r="K6">
        <v>0</v>
      </c>
      <c r="L6">
        <v>0</v>
      </c>
      <c r="M6">
        <v>0</v>
      </c>
      <c r="N6">
        <v>23</v>
      </c>
      <c r="O6">
        <v>16</v>
      </c>
      <c r="P6">
        <v>2</v>
      </c>
      <c r="Q6">
        <v>2</v>
      </c>
      <c r="R6">
        <v>2</v>
      </c>
      <c r="S6">
        <v>0</v>
      </c>
      <c r="T6">
        <v>3</v>
      </c>
      <c r="U6">
        <v>1</v>
      </c>
      <c r="V6">
        <v>28</v>
      </c>
      <c r="W6">
        <v>11</v>
      </c>
      <c r="X6">
        <v>6</v>
      </c>
      <c r="Y6">
        <v>1</v>
      </c>
      <c r="Z6">
        <v>2</v>
      </c>
      <c r="AA6">
        <v>18</v>
      </c>
      <c r="AB6">
        <v>5</v>
      </c>
      <c r="AC6">
        <v>10</v>
      </c>
      <c r="AD6">
        <v>4</v>
      </c>
      <c r="AE6">
        <v>0</v>
      </c>
      <c r="AF6">
        <v>0</v>
      </c>
      <c r="AG6">
        <v>6</v>
      </c>
      <c r="AH6">
        <v>5</v>
      </c>
      <c r="AI6">
        <v>6</v>
      </c>
      <c r="AJ6">
        <v>1</v>
      </c>
      <c r="AK6">
        <v>4</v>
      </c>
      <c r="AL6">
        <v>2</v>
      </c>
      <c r="AM6">
        <v>0</v>
      </c>
      <c r="AN6">
        <v>0</v>
      </c>
      <c r="AO6">
        <v>2</v>
      </c>
      <c r="AP6">
        <v>18</v>
      </c>
      <c r="AQ6">
        <v>5</v>
      </c>
      <c r="AR6">
        <v>10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2</v>
      </c>
      <c r="BE6">
        <v>0</v>
      </c>
      <c r="BF6">
        <v>3</v>
      </c>
      <c r="BG6">
        <v>1</v>
      </c>
      <c r="BH6">
        <v>12</v>
      </c>
      <c r="BI6">
        <v>3</v>
      </c>
      <c r="BJ6">
        <v>1</v>
      </c>
      <c r="BK6">
        <v>0</v>
      </c>
      <c r="BL6">
        <v>5</v>
      </c>
      <c r="BM6">
        <v>3</v>
      </c>
      <c r="BN6">
        <v>23</v>
      </c>
      <c r="BO6">
        <v>16</v>
      </c>
      <c r="BP6">
        <v>2</v>
      </c>
      <c r="BQ6">
        <v>2</v>
      </c>
      <c r="BR6">
        <v>0</v>
      </c>
      <c r="BS6">
        <v>0</v>
      </c>
      <c r="BT6">
        <v>2</v>
      </c>
      <c r="BU6">
        <v>0</v>
      </c>
      <c r="BV6">
        <v>0</v>
      </c>
      <c r="BW6">
        <v>0.21</v>
      </c>
      <c r="BX6">
        <v>0</v>
      </c>
      <c r="BY6">
        <v>3</v>
      </c>
      <c r="BZ6">
        <v>2</v>
      </c>
      <c r="CA6">
        <v>2</v>
      </c>
      <c r="CB6">
        <v>1</v>
      </c>
      <c r="CC6">
        <v>17</v>
      </c>
      <c r="CD6">
        <v>8</v>
      </c>
      <c r="CE6">
        <v>6</v>
      </c>
      <c r="CF6">
        <v>4</v>
      </c>
      <c r="CG6">
        <v>3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220</v>
      </c>
      <c r="F7">
        <v>84</v>
      </c>
      <c r="G7">
        <v>62</v>
      </c>
      <c r="H7">
        <v>37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18</v>
      </c>
      <c r="P7">
        <v>5</v>
      </c>
      <c r="Q7">
        <v>2</v>
      </c>
      <c r="R7">
        <v>3</v>
      </c>
      <c r="S7">
        <v>2</v>
      </c>
      <c r="T7">
        <v>10</v>
      </c>
      <c r="U7">
        <v>6</v>
      </c>
      <c r="V7">
        <v>28</v>
      </c>
      <c r="W7">
        <v>17</v>
      </c>
      <c r="X7">
        <v>0</v>
      </c>
      <c r="Y7">
        <v>0</v>
      </c>
      <c r="Z7">
        <v>4</v>
      </c>
      <c r="AA7">
        <v>12</v>
      </c>
      <c r="AB7">
        <v>4</v>
      </c>
      <c r="AC7">
        <v>5</v>
      </c>
      <c r="AD7">
        <v>1</v>
      </c>
      <c r="AE7">
        <v>0</v>
      </c>
      <c r="AF7">
        <v>0</v>
      </c>
      <c r="AG7">
        <v>6</v>
      </c>
      <c r="AH7">
        <v>5</v>
      </c>
      <c r="AI7">
        <v>0</v>
      </c>
      <c r="AJ7">
        <v>0</v>
      </c>
      <c r="AK7">
        <v>3</v>
      </c>
      <c r="AL7">
        <v>1</v>
      </c>
      <c r="AM7">
        <v>0</v>
      </c>
      <c r="AN7">
        <v>0</v>
      </c>
      <c r="AO7">
        <v>4</v>
      </c>
      <c r="AP7">
        <v>12</v>
      </c>
      <c r="AQ7">
        <v>4</v>
      </c>
      <c r="AR7">
        <v>5</v>
      </c>
      <c r="AS7">
        <v>1</v>
      </c>
      <c r="AT7">
        <v>2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3</v>
      </c>
      <c r="BE7">
        <v>2</v>
      </c>
      <c r="BF7">
        <v>10</v>
      </c>
      <c r="BG7">
        <v>6</v>
      </c>
      <c r="BH7">
        <v>19</v>
      </c>
      <c r="BI7">
        <v>11</v>
      </c>
      <c r="BJ7">
        <v>1</v>
      </c>
      <c r="BK7">
        <v>1</v>
      </c>
      <c r="BL7">
        <v>6</v>
      </c>
      <c r="BM7">
        <v>4</v>
      </c>
      <c r="BN7">
        <v>24</v>
      </c>
      <c r="BO7">
        <v>18</v>
      </c>
      <c r="BP7">
        <v>5</v>
      </c>
      <c r="BQ7">
        <v>2</v>
      </c>
      <c r="BR7">
        <v>2</v>
      </c>
      <c r="BS7">
        <v>0</v>
      </c>
      <c r="BT7">
        <v>3</v>
      </c>
      <c r="BU7">
        <v>2</v>
      </c>
      <c r="BV7">
        <v>0</v>
      </c>
      <c r="BW7">
        <v>0.18</v>
      </c>
      <c r="BX7">
        <v>0</v>
      </c>
      <c r="BY7">
        <v>6</v>
      </c>
      <c r="BZ7">
        <v>3</v>
      </c>
      <c r="CA7">
        <v>4</v>
      </c>
      <c r="CB7">
        <v>3</v>
      </c>
      <c r="CC7">
        <v>16</v>
      </c>
      <c r="CD7">
        <v>6</v>
      </c>
      <c r="CE7">
        <v>2</v>
      </c>
      <c r="CF7">
        <v>4</v>
      </c>
      <c r="CG7">
        <v>4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222</v>
      </c>
      <c r="F8">
        <v>91</v>
      </c>
      <c r="G8">
        <v>65</v>
      </c>
      <c r="H8">
        <v>27</v>
      </c>
      <c r="I8">
        <v>1</v>
      </c>
      <c r="J8">
        <v>1</v>
      </c>
      <c r="K8">
        <v>2</v>
      </c>
      <c r="L8">
        <v>1</v>
      </c>
      <c r="M8">
        <v>0.22</v>
      </c>
      <c r="N8">
        <v>30</v>
      </c>
      <c r="O8">
        <v>17</v>
      </c>
      <c r="P8">
        <v>2</v>
      </c>
      <c r="Q8">
        <v>0</v>
      </c>
      <c r="R8">
        <v>3</v>
      </c>
      <c r="S8">
        <v>1</v>
      </c>
      <c r="T8">
        <v>9</v>
      </c>
      <c r="U8">
        <v>2</v>
      </c>
      <c r="V8">
        <v>26</v>
      </c>
      <c r="W8">
        <v>9</v>
      </c>
      <c r="X8">
        <v>2</v>
      </c>
      <c r="Y8">
        <v>0</v>
      </c>
      <c r="Z8">
        <v>4</v>
      </c>
      <c r="AA8">
        <v>19</v>
      </c>
      <c r="AB8">
        <v>11</v>
      </c>
      <c r="AC8">
        <v>5</v>
      </c>
      <c r="AD8">
        <v>1</v>
      </c>
      <c r="AE8">
        <v>0</v>
      </c>
      <c r="AF8">
        <v>0</v>
      </c>
      <c r="AG8">
        <v>6</v>
      </c>
      <c r="AH8">
        <v>5</v>
      </c>
      <c r="AI8">
        <v>2</v>
      </c>
      <c r="AJ8">
        <v>0</v>
      </c>
      <c r="AK8">
        <v>2</v>
      </c>
      <c r="AL8">
        <v>0</v>
      </c>
      <c r="AM8">
        <v>1</v>
      </c>
      <c r="AN8">
        <v>1</v>
      </c>
      <c r="AO8">
        <v>4</v>
      </c>
      <c r="AP8">
        <v>19</v>
      </c>
      <c r="AQ8">
        <v>11</v>
      </c>
      <c r="AR8">
        <v>5</v>
      </c>
      <c r="AS8">
        <v>1</v>
      </c>
      <c r="AT8">
        <v>2</v>
      </c>
      <c r="AU8">
        <v>1</v>
      </c>
      <c r="AV8">
        <v>0</v>
      </c>
      <c r="AW8">
        <v>0</v>
      </c>
      <c r="AX8">
        <v>1</v>
      </c>
      <c r="AY8">
        <v>1</v>
      </c>
      <c r="AZ8">
        <v>2</v>
      </c>
      <c r="BA8">
        <v>1</v>
      </c>
      <c r="BB8">
        <v>0.22</v>
      </c>
      <c r="BC8">
        <v>2</v>
      </c>
      <c r="BD8">
        <v>3</v>
      </c>
      <c r="BE8">
        <v>1</v>
      </c>
      <c r="BF8">
        <v>9</v>
      </c>
      <c r="BG8">
        <v>2</v>
      </c>
      <c r="BH8">
        <v>16</v>
      </c>
      <c r="BI8">
        <v>4</v>
      </c>
      <c r="BJ8">
        <v>4</v>
      </c>
      <c r="BK8">
        <v>0</v>
      </c>
      <c r="BL8">
        <v>5</v>
      </c>
      <c r="BM8">
        <v>2</v>
      </c>
      <c r="BN8">
        <v>30</v>
      </c>
      <c r="BO8">
        <v>17</v>
      </c>
      <c r="BP8">
        <v>2</v>
      </c>
      <c r="BQ8">
        <v>0</v>
      </c>
      <c r="BR8">
        <v>0</v>
      </c>
      <c r="BS8">
        <v>0</v>
      </c>
      <c r="BT8">
        <v>3</v>
      </c>
      <c r="BU8">
        <v>1</v>
      </c>
      <c r="BV8">
        <v>1</v>
      </c>
      <c r="BW8">
        <v>0.71</v>
      </c>
      <c r="BX8">
        <v>0</v>
      </c>
      <c r="BY8">
        <v>1</v>
      </c>
      <c r="BZ8">
        <v>0</v>
      </c>
      <c r="CA8">
        <v>1</v>
      </c>
      <c r="CB8">
        <v>0</v>
      </c>
      <c r="CC8">
        <v>19</v>
      </c>
      <c r="CD8">
        <v>6</v>
      </c>
      <c r="CE8">
        <v>2</v>
      </c>
      <c r="CF8">
        <v>7</v>
      </c>
      <c r="CG8">
        <v>6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243</v>
      </c>
      <c r="F9">
        <v>101</v>
      </c>
      <c r="G9">
        <v>78</v>
      </c>
      <c r="H9">
        <v>48</v>
      </c>
      <c r="I9">
        <v>0</v>
      </c>
      <c r="J9">
        <v>0</v>
      </c>
      <c r="K9">
        <v>3</v>
      </c>
      <c r="L9">
        <v>2</v>
      </c>
      <c r="M9">
        <v>0.21</v>
      </c>
      <c r="N9">
        <v>32</v>
      </c>
      <c r="O9">
        <v>25</v>
      </c>
      <c r="P9">
        <v>3</v>
      </c>
      <c r="Q9">
        <v>3</v>
      </c>
      <c r="R9">
        <v>3</v>
      </c>
      <c r="S9">
        <v>2</v>
      </c>
      <c r="T9">
        <v>11</v>
      </c>
      <c r="U9">
        <v>7</v>
      </c>
      <c r="V9">
        <v>39</v>
      </c>
      <c r="W9">
        <v>20</v>
      </c>
      <c r="X9">
        <v>4</v>
      </c>
      <c r="Y9">
        <v>2</v>
      </c>
      <c r="Z9">
        <v>1</v>
      </c>
      <c r="AA9">
        <v>18</v>
      </c>
      <c r="AB9">
        <v>3</v>
      </c>
      <c r="AC9">
        <v>6</v>
      </c>
      <c r="AD9">
        <v>5</v>
      </c>
      <c r="AE9">
        <v>74</v>
      </c>
      <c r="AF9">
        <v>0</v>
      </c>
      <c r="AG9">
        <v>7</v>
      </c>
      <c r="AH9">
        <v>5</v>
      </c>
      <c r="AI9">
        <v>4</v>
      </c>
      <c r="AJ9">
        <v>2</v>
      </c>
      <c r="AK9">
        <v>3</v>
      </c>
      <c r="AL9">
        <v>1</v>
      </c>
      <c r="AM9">
        <v>0</v>
      </c>
      <c r="AN9">
        <v>0</v>
      </c>
      <c r="AO9">
        <v>1</v>
      </c>
      <c r="AP9">
        <v>18</v>
      </c>
      <c r="AQ9">
        <v>3</v>
      </c>
      <c r="AR9">
        <v>6</v>
      </c>
      <c r="AS9">
        <v>5</v>
      </c>
      <c r="AT9">
        <v>1</v>
      </c>
      <c r="AU9">
        <v>2</v>
      </c>
      <c r="AV9">
        <v>1</v>
      </c>
      <c r="AW9">
        <v>0</v>
      </c>
      <c r="AX9">
        <v>0</v>
      </c>
      <c r="AY9">
        <v>0</v>
      </c>
      <c r="AZ9">
        <v>3</v>
      </c>
      <c r="BA9">
        <v>2</v>
      </c>
      <c r="BB9">
        <v>0.21</v>
      </c>
      <c r="BC9">
        <v>2</v>
      </c>
      <c r="BD9">
        <v>3</v>
      </c>
      <c r="BE9">
        <v>2</v>
      </c>
      <c r="BF9">
        <v>11</v>
      </c>
      <c r="BG9">
        <v>7</v>
      </c>
      <c r="BH9">
        <v>25</v>
      </c>
      <c r="BI9">
        <v>12</v>
      </c>
      <c r="BJ9">
        <v>5</v>
      </c>
      <c r="BK9">
        <v>0</v>
      </c>
      <c r="BL9">
        <v>6</v>
      </c>
      <c r="BM9">
        <v>3</v>
      </c>
      <c r="BN9">
        <v>32</v>
      </c>
      <c r="BO9">
        <v>25</v>
      </c>
      <c r="BP9">
        <v>3</v>
      </c>
      <c r="BQ9">
        <v>3</v>
      </c>
      <c r="BR9">
        <v>0</v>
      </c>
      <c r="BS9">
        <v>0</v>
      </c>
      <c r="BT9">
        <v>3</v>
      </c>
      <c r="BU9">
        <v>2</v>
      </c>
      <c r="BV9">
        <v>0</v>
      </c>
      <c r="BW9">
        <v>0.2</v>
      </c>
      <c r="BX9">
        <v>0</v>
      </c>
      <c r="BY9">
        <v>3</v>
      </c>
      <c r="BZ9">
        <v>3</v>
      </c>
      <c r="CA9">
        <v>2</v>
      </c>
      <c r="CB9">
        <v>1</v>
      </c>
      <c r="CC9">
        <v>21</v>
      </c>
      <c r="CD9">
        <v>10</v>
      </c>
      <c r="CE9">
        <v>7</v>
      </c>
      <c r="CF9">
        <v>7</v>
      </c>
      <c r="CG9">
        <v>6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220</v>
      </c>
      <c r="F10">
        <v>77</v>
      </c>
      <c r="G10">
        <v>52</v>
      </c>
      <c r="H10">
        <v>22</v>
      </c>
      <c r="I10">
        <v>0</v>
      </c>
      <c r="J10">
        <v>0</v>
      </c>
      <c r="K10">
        <v>0</v>
      </c>
      <c r="L10">
        <v>0</v>
      </c>
      <c r="M10">
        <v>0</v>
      </c>
      <c r="N10">
        <v>17</v>
      </c>
      <c r="O10">
        <v>9</v>
      </c>
      <c r="P10">
        <v>2</v>
      </c>
      <c r="Q10">
        <v>0</v>
      </c>
      <c r="R10">
        <v>4</v>
      </c>
      <c r="S10">
        <v>1</v>
      </c>
      <c r="T10">
        <v>9</v>
      </c>
      <c r="U10">
        <v>4</v>
      </c>
      <c r="V10">
        <v>32</v>
      </c>
      <c r="W10">
        <v>13</v>
      </c>
      <c r="X10">
        <v>6</v>
      </c>
      <c r="Y10">
        <v>4</v>
      </c>
      <c r="Z10">
        <v>3</v>
      </c>
      <c r="AA10">
        <v>16</v>
      </c>
      <c r="AB10">
        <v>3</v>
      </c>
      <c r="AC10">
        <v>3</v>
      </c>
      <c r="AD10">
        <v>2</v>
      </c>
      <c r="AE10">
        <v>0</v>
      </c>
      <c r="AF10">
        <v>0</v>
      </c>
      <c r="AG10">
        <v>4</v>
      </c>
      <c r="AH10">
        <v>3</v>
      </c>
      <c r="AI10">
        <v>6</v>
      </c>
      <c r="AJ10">
        <v>4</v>
      </c>
      <c r="AK10">
        <v>3</v>
      </c>
      <c r="AL10">
        <v>0</v>
      </c>
      <c r="AM10">
        <v>0</v>
      </c>
      <c r="AN10">
        <v>0</v>
      </c>
      <c r="AO10">
        <v>3</v>
      </c>
      <c r="AP10">
        <v>16</v>
      </c>
      <c r="AQ10">
        <v>3</v>
      </c>
      <c r="AR10">
        <v>3</v>
      </c>
      <c r="AS10">
        <v>2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4</v>
      </c>
      <c r="BE10">
        <v>1</v>
      </c>
      <c r="BF10">
        <v>9</v>
      </c>
      <c r="BG10">
        <v>4</v>
      </c>
      <c r="BH10">
        <v>19</v>
      </c>
      <c r="BI10">
        <v>6</v>
      </c>
      <c r="BJ10">
        <v>0</v>
      </c>
      <c r="BK10">
        <v>0</v>
      </c>
      <c r="BL10">
        <v>2</v>
      </c>
      <c r="BM10">
        <v>1</v>
      </c>
      <c r="BN10">
        <v>17</v>
      </c>
      <c r="BO10">
        <v>9</v>
      </c>
      <c r="BP10">
        <v>2</v>
      </c>
      <c r="BQ10">
        <v>0</v>
      </c>
      <c r="BR10">
        <v>1</v>
      </c>
      <c r="BS10">
        <v>0</v>
      </c>
      <c r="BT10">
        <v>4</v>
      </c>
      <c r="BU10">
        <v>1</v>
      </c>
      <c r="BV10">
        <v>0</v>
      </c>
      <c r="BW10">
        <v>0.21</v>
      </c>
      <c r="BX10">
        <v>0</v>
      </c>
      <c r="BY10">
        <v>2</v>
      </c>
      <c r="BZ10">
        <v>2</v>
      </c>
      <c r="CA10">
        <v>4</v>
      </c>
      <c r="CB10">
        <v>1</v>
      </c>
      <c r="CC10">
        <v>7</v>
      </c>
      <c r="CD10">
        <v>3</v>
      </c>
      <c r="CE10">
        <v>1</v>
      </c>
      <c r="CF10">
        <v>3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247</v>
      </c>
      <c r="F11">
        <v>100</v>
      </c>
      <c r="G11">
        <v>78</v>
      </c>
      <c r="H11">
        <v>33</v>
      </c>
      <c r="I11">
        <v>0</v>
      </c>
      <c r="J11">
        <v>0</v>
      </c>
      <c r="K11">
        <v>3</v>
      </c>
      <c r="L11">
        <v>1</v>
      </c>
      <c r="M11">
        <v>0.12</v>
      </c>
      <c r="N11">
        <v>23</v>
      </c>
      <c r="O11">
        <v>16</v>
      </c>
      <c r="P11">
        <v>0</v>
      </c>
      <c r="Q11">
        <v>0</v>
      </c>
      <c r="R11">
        <v>4</v>
      </c>
      <c r="S11">
        <v>2</v>
      </c>
      <c r="T11">
        <v>16</v>
      </c>
      <c r="U11">
        <v>6</v>
      </c>
      <c r="V11">
        <v>44</v>
      </c>
      <c r="W11">
        <v>15</v>
      </c>
      <c r="X11">
        <v>0</v>
      </c>
      <c r="Y11">
        <v>0</v>
      </c>
      <c r="Z11">
        <v>3</v>
      </c>
      <c r="AA11">
        <v>17</v>
      </c>
      <c r="AB11">
        <v>0</v>
      </c>
      <c r="AC11">
        <v>5</v>
      </c>
      <c r="AD11">
        <v>4</v>
      </c>
      <c r="AE11">
        <v>0</v>
      </c>
      <c r="AF11">
        <v>0</v>
      </c>
      <c r="AG11">
        <v>5</v>
      </c>
      <c r="AH11">
        <v>3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0</v>
      </c>
      <c r="AO11">
        <v>3</v>
      </c>
      <c r="AP11">
        <v>17</v>
      </c>
      <c r="AQ11">
        <v>0</v>
      </c>
      <c r="AR11">
        <v>5</v>
      </c>
      <c r="AS11">
        <v>4</v>
      </c>
      <c r="AT11">
        <v>0</v>
      </c>
      <c r="AU11">
        <v>3</v>
      </c>
      <c r="AV11">
        <v>0</v>
      </c>
      <c r="AW11">
        <v>0</v>
      </c>
      <c r="AX11">
        <v>0</v>
      </c>
      <c r="AY11">
        <v>0</v>
      </c>
      <c r="AZ11">
        <v>3</v>
      </c>
      <c r="BA11">
        <v>1</v>
      </c>
      <c r="BB11">
        <v>0.12</v>
      </c>
      <c r="BC11">
        <v>0</v>
      </c>
      <c r="BD11">
        <v>4</v>
      </c>
      <c r="BE11">
        <v>2</v>
      </c>
      <c r="BF11">
        <v>16</v>
      </c>
      <c r="BG11">
        <v>6</v>
      </c>
      <c r="BH11">
        <v>34</v>
      </c>
      <c r="BI11">
        <v>12</v>
      </c>
      <c r="BJ11">
        <v>4</v>
      </c>
      <c r="BK11">
        <v>0</v>
      </c>
      <c r="BL11">
        <v>5</v>
      </c>
      <c r="BM11">
        <v>4</v>
      </c>
      <c r="BN11">
        <v>23</v>
      </c>
      <c r="BO11">
        <v>16</v>
      </c>
      <c r="BP11">
        <v>0</v>
      </c>
      <c r="BQ11">
        <v>0</v>
      </c>
      <c r="BR11">
        <v>0</v>
      </c>
      <c r="BS11">
        <v>0</v>
      </c>
      <c r="BT11">
        <v>4</v>
      </c>
      <c r="BU11">
        <v>2</v>
      </c>
      <c r="BV11">
        <v>0</v>
      </c>
      <c r="BW11">
        <v>0</v>
      </c>
      <c r="BX11">
        <v>0</v>
      </c>
      <c r="BY11">
        <v>3</v>
      </c>
      <c r="BZ11">
        <v>3</v>
      </c>
      <c r="CA11">
        <v>3</v>
      </c>
      <c r="CB11">
        <v>2</v>
      </c>
      <c r="CC11">
        <v>20</v>
      </c>
      <c r="CD11">
        <v>7</v>
      </c>
      <c r="CE11">
        <v>5</v>
      </c>
      <c r="CF11">
        <v>4</v>
      </c>
      <c r="CG11">
        <v>3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220</v>
      </c>
      <c r="F12">
        <v>35</v>
      </c>
      <c r="G12">
        <v>19</v>
      </c>
      <c r="H12">
        <v>14</v>
      </c>
      <c r="I12">
        <v>0</v>
      </c>
      <c r="J12">
        <v>0</v>
      </c>
      <c r="K12">
        <v>0</v>
      </c>
      <c r="L12">
        <v>0</v>
      </c>
      <c r="M12">
        <v>0</v>
      </c>
      <c r="N12">
        <v>9</v>
      </c>
      <c r="O12">
        <v>8</v>
      </c>
      <c r="P12">
        <v>1</v>
      </c>
      <c r="Q12">
        <v>1</v>
      </c>
      <c r="R12">
        <v>2</v>
      </c>
      <c r="S12">
        <v>2</v>
      </c>
      <c r="T12">
        <v>6</v>
      </c>
      <c r="U12">
        <v>4</v>
      </c>
      <c r="V12">
        <v>10</v>
      </c>
      <c r="W12">
        <v>6</v>
      </c>
      <c r="X12">
        <v>0</v>
      </c>
      <c r="Y12">
        <v>0</v>
      </c>
      <c r="Z12">
        <v>0</v>
      </c>
      <c r="AA12">
        <v>2</v>
      </c>
      <c r="AB12">
        <v>0</v>
      </c>
      <c r="AC12">
        <v>3</v>
      </c>
      <c r="AD12">
        <v>3</v>
      </c>
      <c r="AE12">
        <v>0</v>
      </c>
      <c r="AF12">
        <v>0</v>
      </c>
      <c r="AG12">
        <v>1</v>
      </c>
      <c r="AH12">
        <v>1</v>
      </c>
      <c r="AI12">
        <v>0</v>
      </c>
      <c r="AJ12">
        <v>0</v>
      </c>
      <c r="AK12">
        <v>1</v>
      </c>
      <c r="AL12">
        <v>1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3</v>
      </c>
      <c r="AS12">
        <v>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2</v>
      </c>
      <c r="BF12">
        <v>6</v>
      </c>
      <c r="BG12">
        <v>4</v>
      </c>
      <c r="BH12">
        <v>8</v>
      </c>
      <c r="BI12">
        <v>4</v>
      </c>
      <c r="BJ12">
        <v>1</v>
      </c>
      <c r="BK12">
        <v>0</v>
      </c>
      <c r="BL12">
        <v>4</v>
      </c>
      <c r="BM12">
        <v>0</v>
      </c>
      <c r="BN12">
        <v>9</v>
      </c>
      <c r="BO12">
        <v>8</v>
      </c>
      <c r="BP12">
        <v>1</v>
      </c>
      <c r="BQ12">
        <v>1</v>
      </c>
      <c r="BR12">
        <v>0</v>
      </c>
      <c r="BS12">
        <v>0</v>
      </c>
      <c r="BT12">
        <v>2</v>
      </c>
      <c r="BU12">
        <v>2</v>
      </c>
      <c r="BV12">
        <v>0</v>
      </c>
      <c r="BW12">
        <v>0</v>
      </c>
      <c r="BX12">
        <v>0</v>
      </c>
      <c r="BY12">
        <v>2</v>
      </c>
      <c r="BZ12">
        <v>2</v>
      </c>
      <c r="CA12">
        <v>1</v>
      </c>
      <c r="CB12">
        <v>1</v>
      </c>
      <c r="CC12">
        <v>9</v>
      </c>
      <c r="CD12">
        <v>1</v>
      </c>
      <c r="CE12">
        <v>1</v>
      </c>
      <c r="CF12">
        <v>1</v>
      </c>
      <c r="CG12">
        <v>1</v>
      </c>
    </row>
    <row r="13" spans="1:85" x14ac:dyDescent="0.15">
      <c r="A13" t="s">
        <v>64</v>
      </c>
      <c r="B13" t="s">
        <v>66</v>
      </c>
      <c r="C13" t="s">
        <v>32</v>
      </c>
      <c r="D13" t="s">
        <v>78</v>
      </c>
      <c r="E13" t="s">
        <v>247</v>
      </c>
      <c r="F13">
        <v>98</v>
      </c>
      <c r="G13">
        <v>59</v>
      </c>
      <c r="H13">
        <v>31</v>
      </c>
      <c r="I13">
        <v>0</v>
      </c>
      <c r="J13">
        <v>0</v>
      </c>
      <c r="K13">
        <v>1</v>
      </c>
      <c r="L13">
        <v>0</v>
      </c>
      <c r="M13">
        <v>0.04</v>
      </c>
      <c r="N13">
        <v>25</v>
      </c>
      <c r="O13">
        <v>17</v>
      </c>
      <c r="P13">
        <v>1</v>
      </c>
      <c r="Q13">
        <v>0</v>
      </c>
      <c r="R13">
        <v>4</v>
      </c>
      <c r="S13">
        <v>1</v>
      </c>
      <c r="T13">
        <v>7</v>
      </c>
      <c r="U13">
        <v>3</v>
      </c>
      <c r="V13">
        <v>28</v>
      </c>
      <c r="W13">
        <v>13</v>
      </c>
      <c r="X13">
        <v>6</v>
      </c>
      <c r="Y13">
        <v>2</v>
      </c>
      <c r="Z13">
        <v>2</v>
      </c>
      <c r="AA13">
        <v>13</v>
      </c>
      <c r="AB13">
        <v>4</v>
      </c>
      <c r="AC13">
        <v>8</v>
      </c>
      <c r="AD13">
        <v>4</v>
      </c>
      <c r="AE13">
        <v>0</v>
      </c>
      <c r="AF13">
        <v>0</v>
      </c>
      <c r="AG13">
        <v>6</v>
      </c>
      <c r="AH13">
        <v>6</v>
      </c>
      <c r="AI13">
        <v>6</v>
      </c>
      <c r="AJ13">
        <v>2</v>
      </c>
      <c r="AK13">
        <v>2</v>
      </c>
      <c r="AL13">
        <v>0</v>
      </c>
      <c r="AM13">
        <v>1</v>
      </c>
      <c r="AN13">
        <v>1</v>
      </c>
      <c r="AO13">
        <v>2</v>
      </c>
      <c r="AP13">
        <v>13</v>
      </c>
      <c r="AQ13">
        <v>4</v>
      </c>
      <c r="AR13">
        <v>8</v>
      </c>
      <c r="AS13">
        <v>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0</v>
      </c>
      <c r="BB13">
        <v>0.04</v>
      </c>
      <c r="BC13">
        <v>0</v>
      </c>
      <c r="BD13">
        <v>4</v>
      </c>
      <c r="BE13">
        <v>1</v>
      </c>
      <c r="BF13">
        <v>7</v>
      </c>
      <c r="BG13">
        <v>3</v>
      </c>
      <c r="BH13">
        <v>14</v>
      </c>
      <c r="BI13">
        <v>5</v>
      </c>
      <c r="BJ13">
        <v>2</v>
      </c>
      <c r="BK13">
        <v>0</v>
      </c>
      <c r="BL13">
        <v>2</v>
      </c>
      <c r="BM13">
        <v>0</v>
      </c>
      <c r="BN13">
        <v>25</v>
      </c>
      <c r="BO13">
        <v>17</v>
      </c>
      <c r="BP13">
        <v>1</v>
      </c>
      <c r="BQ13">
        <v>0</v>
      </c>
      <c r="BR13">
        <v>0</v>
      </c>
      <c r="BS13">
        <v>0</v>
      </c>
      <c r="BT13">
        <v>4</v>
      </c>
      <c r="BU13">
        <v>1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0</v>
      </c>
      <c r="CC13">
        <v>15</v>
      </c>
      <c r="CD13">
        <v>7</v>
      </c>
      <c r="CE13">
        <v>6</v>
      </c>
      <c r="CF13">
        <v>5</v>
      </c>
      <c r="CG13">
        <v>4</v>
      </c>
    </row>
    <row r="14" spans="1:85" x14ac:dyDescent="0.15">
      <c r="A14" t="s">
        <v>69</v>
      </c>
      <c r="B14" t="s">
        <v>71</v>
      </c>
      <c r="C14" t="s">
        <v>32</v>
      </c>
      <c r="D14" t="s">
        <v>81</v>
      </c>
      <c r="E14" t="s">
        <v>219</v>
      </c>
      <c r="F14">
        <v>86</v>
      </c>
      <c r="G14">
        <v>43</v>
      </c>
      <c r="H14">
        <v>17</v>
      </c>
      <c r="I14">
        <v>0</v>
      </c>
      <c r="J14">
        <v>0</v>
      </c>
      <c r="K14">
        <v>0</v>
      </c>
      <c r="L14">
        <v>0</v>
      </c>
      <c r="M14">
        <v>0</v>
      </c>
      <c r="N14">
        <v>17</v>
      </c>
      <c r="O14">
        <v>13</v>
      </c>
      <c r="P14">
        <v>1</v>
      </c>
      <c r="Q14">
        <v>1</v>
      </c>
      <c r="R14">
        <v>2</v>
      </c>
      <c r="S14">
        <v>0</v>
      </c>
      <c r="T14">
        <v>7</v>
      </c>
      <c r="U14">
        <v>0</v>
      </c>
      <c r="V14">
        <v>23</v>
      </c>
      <c r="W14">
        <v>4</v>
      </c>
      <c r="X14">
        <v>3</v>
      </c>
      <c r="Y14">
        <v>0</v>
      </c>
      <c r="Z14">
        <v>1</v>
      </c>
      <c r="AA14">
        <v>11</v>
      </c>
      <c r="AB14">
        <v>4</v>
      </c>
      <c r="AC14">
        <v>3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3</v>
      </c>
      <c r="AJ14">
        <v>0</v>
      </c>
      <c r="AK14">
        <v>3</v>
      </c>
      <c r="AL14">
        <v>2</v>
      </c>
      <c r="AM14">
        <v>0</v>
      </c>
      <c r="AN14">
        <v>0</v>
      </c>
      <c r="AO14">
        <v>1</v>
      </c>
      <c r="AP14">
        <v>11</v>
      </c>
      <c r="AQ14">
        <v>4</v>
      </c>
      <c r="AR14">
        <v>3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7</v>
      </c>
      <c r="BG14">
        <v>0</v>
      </c>
      <c r="BH14">
        <v>17</v>
      </c>
      <c r="BI14">
        <v>2</v>
      </c>
      <c r="BJ14">
        <v>1</v>
      </c>
      <c r="BK14">
        <v>1</v>
      </c>
      <c r="BL14">
        <v>1</v>
      </c>
      <c r="BM14">
        <v>2</v>
      </c>
      <c r="BN14">
        <v>17</v>
      </c>
      <c r="BO14">
        <v>13</v>
      </c>
      <c r="BP14">
        <v>1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</v>
      </c>
      <c r="CB14">
        <v>0</v>
      </c>
      <c r="CC14">
        <v>13</v>
      </c>
      <c r="CD14">
        <v>7</v>
      </c>
      <c r="CE14">
        <v>6</v>
      </c>
      <c r="CF14">
        <v>3</v>
      </c>
      <c r="CG14">
        <v>3</v>
      </c>
    </row>
    <row r="15" spans="1:85" x14ac:dyDescent="0.15">
      <c r="A15" t="s">
        <v>73</v>
      </c>
      <c r="B15" t="s">
        <v>75</v>
      </c>
      <c r="C15" t="s">
        <v>32</v>
      </c>
      <c r="D15" t="s">
        <v>87</v>
      </c>
      <c r="E15" t="s">
        <v>220</v>
      </c>
      <c r="F15">
        <v>82</v>
      </c>
      <c r="G15">
        <v>59</v>
      </c>
      <c r="H15">
        <v>29</v>
      </c>
      <c r="I15">
        <v>0</v>
      </c>
      <c r="J15">
        <v>0</v>
      </c>
      <c r="K15">
        <v>1</v>
      </c>
      <c r="L15">
        <v>0</v>
      </c>
      <c r="M15">
        <v>0.01</v>
      </c>
      <c r="N15">
        <v>22</v>
      </c>
      <c r="O15">
        <v>14</v>
      </c>
      <c r="P15">
        <v>1</v>
      </c>
      <c r="Q15">
        <v>0</v>
      </c>
      <c r="R15">
        <v>1</v>
      </c>
      <c r="S15">
        <v>0</v>
      </c>
      <c r="T15">
        <v>9</v>
      </c>
      <c r="U15">
        <v>6</v>
      </c>
      <c r="V15">
        <v>30</v>
      </c>
      <c r="W15">
        <v>15</v>
      </c>
      <c r="X15">
        <v>3</v>
      </c>
      <c r="Y15">
        <v>1</v>
      </c>
      <c r="Z15">
        <v>4</v>
      </c>
      <c r="AA15">
        <v>16</v>
      </c>
      <c r="AB15">
        <v>3</v>
      </c>
      <c r="AC15">
        <v>5</v>
      </c>
      <c r="AD15">
        <v>3</v>
      </c>
      <c r="AE15">
        <v>0</v>
      </c>
      <c r="AF15">
        <v>0</v>
      </c>
      <c r="AG15">
        <v>5</v>
      </c>
      <c r="AH15">
        <v>5</v>
      </c>
      <c r="AI15">
        <v>3</v>
      </c>
      <c r="AJ15">
        <v>1</v>
      </c>
      <c r="AK15">
        <v>2</v>
      </c>
      <c r="AL15">
        <v>0</v>
      </c>
      <c r="AM15">
        <v>0</v>
      </c>
      <c r="AN15">
        <v>0</v>
      </c>
      <c r="AO15">
        <v>4</v>
      </c>
      <c r="AP15">
        <v>16</v>
      </c>
      <c r="AQ15">
        <v>3</v>
      </c>
      <c r="AR15">
        <v>5</v>
      </c>
      <c r="AS15">
        <v>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0.01</v>
      </c>
      <c r="BC15">
        <v>0</v>
      </c>
      <c r="BD15">
        <v>1</v>
      </c>
      <c r="BE15">
        <v>0</v>
      </c>
      <c r="BF15">
        <v>9</v>
      </c>
      <c r="BG15">
        <v>6</v>
      </c>
      <c r="BH15">
        <v>20</v>
      </c>
      <c r="BI15">
        <v>9</v>
      </c>
      <c r="BJ15">
        <v>0</v>
      </c>
      <c r="BK15">
        <v>0</v>
      </c>
      <c r="BL15">
        <v>3</v>
      </c>
      <c r="BM15">
        <v>2</v>
      </c>
      <c r="BN15">
        <v>22</v>
      </c>
      <c r="BO15">
        <v>14</v>
      </c>
      <c r="BP15">
        <v>1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1</v>
      </c>
      <c r="CB15">
        <v>1</v>
      </c>
      <c r="CC15">
        <v>11</v>
      </c>
      <c r="CD15">
        <v>5</v>
      </c>
      <c r="CE15">
        <v>3</v>
      </c>
      <c r="CF15">
        <v>5</v>
      </c>
      <c r="CG15">
        <v>4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248</v>
      </c>
      <c r="F2">
        <v>102</v>
      </c>
      <c r="G2">
        <v>64</v>
      </c>
      <c r="H2">
        <v>40</v>
      </c>
      <c r="I2">
        <v>0</v>
      </c>
      <c r="J2">
        <v>0</v>
      </c>
      <c r="K2">
        <v>0</v>
      </c>
      <c r="L2">
        <v>0</v>
      </c>
      <c r="M2">
        <v>0.09</v>
      </c>
      <c r="N2">
        <v>42</v>
      </c>
      <c r="O2">
        <v>31</v>
      </c>
      <c r="P2">
        <v>4</v>
      </c>
      <c r="Q2">
        <v>1</v>
      </c>
      <c r="R2">
        <v>6</v>
      </c>
      <c r="S2">
        <v>1</v>
      </c>
      <c r="T2">
        <v>0</v>
      </c>
      <c r="U2">
        <v>0</v>
      </c>
      <c r="V2">
        <v>14</v>
      </c>
      <c r="W2">
        <v>6</v>
      </c>
      <c r="X2">
        <v>1</v>
      </c>
      <c r="Y2">
        <v>1</v>
      </c>
      <c r="Z2">
        <v>6</v>
      </c>
      <c r="AA2">
        <v>14</v>
      </c>
      <c r="AB2">
        <v>2</v>
      </c>
      <c r="AC2">
        <v>7</v>
      </c>
      <c r="AD2">
        <v>2</v>
      </c>
      <c r="AE2">
        <v>0</v>
      </c>
      <c r="AF2">
        <v>0</v>
      </c>
      <c r="AG2">
        <v>7</v>
      </c>
      <c r="AH2">
        <v>3</v>
      </c>
      <c r="AI2">
        <v>1</v>
      </c>
      <c r="AJ2">
        <v>1</v>
      </c>
      <c r="AK2">
        <v>1</v>
      </c>
      <c r="AL2">
        <v>1</v>
      </c>
      <c r="AM2">
        <v>0</v>
      </c>
      <c r="AN2">
        <v>0</v>
      </c>
      <c r="AO2">
        <v>6</v>
      </c>
      <c r="AP2">
        <v>14</v>
      </c>
      <c r="AQ2">
        <v>2</v>
      </c>
      <c r="AR2">
        <v>7</v>
      </c>
      <c r="AS2">
        <v>2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0.09</v>
      </c>
      <c r="BC2">
        <v>0</v>
      </c>
      <c r="BD2">
        <v>6</v>
      </c>
      <c r="BE2">
        <v>1</v>
      </c>
      <c r="BF2">
        <v>0</v>
      </c>
      <c r="BG2">
        <v>0</v>
      </c>
      <c r="BH2">
        <v>5</v>
      </c>
      <c r="BI2">
        <v>1</v>
      </c>
      <c r="BJ2">
        <v>0</v>
      </c>
      <c r="BK2">
        <v>0</v>
      </c>
      <c r="BL2">
        <v>0</v>
      </c>
      <c r="BM2">
        <v>2</v>
      </c>
      <c r="BN2">
        <v>42</v>
      </c>
      <c r="BO2">
        <v>31</v>
      </c>
      <c r="BP2">
        <v>4</v>
      </c>
      <c r="BQ2">
        <v>1</v>
      </c>
      <c r="BR2">
        <v>0</v>
      </c>
      <c r="BS2">
        <v>0</v>
      </c>
      <c r="BT2">
        <v>6</v>
      </c>
      <c r="BU2">
        <v>1</v>
      </c>
      <c r="BV2">
        <v>0</v>
      </c>
      <c r="BW2">
        <v>0.09</v>
      </c>
      <c r="BX2">
        <v>0</v>
      </c>
      <c r="BY2">
        <v>1</v>
      </c>
      <c r="BZ2">
        <v>1</v>
      </c>
      <c r="CA2">
        <v>0</v>
      </c>
      <c r="CB2">
        <v>0</v>
      </c>
      <c r="CC2">
        <v>34</v>
      </c>
      <c r="CD2">
        <v>9</v>
      </c>
      <c r="CE2">
        <v>4</v>
      </c>
      <c r="CF2">
        <v>8</v>
      </c>
      <c r="CG2">
        <v>8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248</v>
      </c>
      <c r="F3">
        <v>106</v>
      </c>
      <c r="G3">
        <v>44</v>
      </c>
      <c r="H3">
        <v>17</v>
      </c>
      <c r="I3">
        <v>0</v>
      </c>
      <c r="J3">
        <v>0</v>
      </c>
      <c r="K3">
        <v>0</v>
      </c>
      <c r="L3">
        <v>0</v>
      </c>
      <c r="M3">
        <v>0</v>
      </c>
      <c r="N3">
        <v>15</v>
      </c>
      <c r="O3">
        <v>8</v>
      </c>
      <c r="P3">
        <v>1</v>
      </c>
      <c r="Q3">
        <v>1</v>
      </c>
      <c r="R3">
        <v>2</v>
      </c>
      <c r="S3">
        <v>0</v>
      </c>
      <c r="T3">
        <v>0</v>
      </c>
      <c r="U3">
        <v>0</v>
      </c>
      <c r="V3">
        <v>17</v>
      </c>
      <c r="W3">
        <v>9</v>
      </c>
      <c r="X3">
        <v>0</v>
      </c>
      <c r="Y3">
        <v>0</v>
      </c>
      <c r="Z3">
        <v>7</v>
      </c>
      <c r="AA3">
        <v>4</v>
      </c>
      <c r="AB3">
        <v>0</v>
      </c>
      <c r="AC3">
        <v>9</v>
      </c>
      <c r="AD3">
        <v>3</v>
      </c>
      <c r="AE3">
        <v>0</v>
      </c>
      <c r="AF3">
        <v>0</v>
      </c>
      <c r="AG3">
        <v>12</v>
      </c>
      <c r="AH3">
        <v>7</v>
      </c>
      <c r="AI3">
        <v>0</v>
      </c>
      <c r="AJ3">
        <v>0</v>
      </c>
      <c r="AK3">
        <v>0</v>
      </c>
      <c r="AL3">
        <v>0</v>
      </c>
      <c r="AM3">
        <v>1</v>
      </c>
      <c r="AN3">
        <v>1</v>
      </c>
      <c r="AO3">
        <v>7</v>
      </c>
      <c r="AP3">
        <v>4</v>
      </c>
      <c r="AQ3">
        <v>0</v>
      </c>
      <c r="AR3">
        <v>9</v>
      </c>
      <c r="AS3">
        <v>3</v>
      </c>
      <c r="AT3">
        <v>0</v>
      </c>
      <c r="AU3">
        <v>3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2</v>
      </c>
      <c r="BE3">
        <v>0</v>
      </c>
      <c r="BF3">
        <v>0</v>
      </c>
      <c r="BG3">
        <v>0</v>
      </c>
      <c r="BH3">
        <v>5</v>
      </c>
      <c r="BI3">
        <v>2</v>
      </c>
      <c r="BJ3">
        <v>0</v>
      </c>
      <c r="BK3">
        <v>0</v>
      </c>
      <c r="BL3">
        <v>0</v>
      </c>
      <c r="BM3">
        <v>2</v>
      </c>
      <c r="BN3">
        <v>15</v>
      </c>
      <c r="BO3">
        <v>8</v>
      </c>
      <c r="BP3">
        <v>1</v>
      </c>
      <c r="BQ3">
        <v>1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17</v>
      </c>
      <c r="CD3">
        <v>4</v>
      </c>
      <c r="CE3">
        <v>2</v>
      </c>
      <c r="CF3">
        <v>4</v>
      </c>
      <c r="CG3">
        <v>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217</v>
      </c>
      <c r="F2">
        <v>102</v>
      </c>
      <c r="G2">
        <v>54</v>
      </c>
      <c r="H2">
        <v>42</v>
      </c>
      <c r="I2">
        <v>1</v>
      </c>
      <c r="J2">
        <v>0</v>
      </c>
      <c r="K2">
        <v>1</v>
      </c>
      <c r="L2">
        <v>1</v>
      </c>
      <c r="M2">
        <v>0.02</v>
      </c>
      <c r="N2">
        <v>42</v>
      </c>
      <c r="O2">
        <v>38</v>
      </c>
      <c r="P2">
        <v>4</v>
      </c>
      <c r="Q2">
        <v>3</v>
      </c>
      <c r="R2">
        <v>0</v>
      </c>
      <c r="S2">
        <v>0</v>
      </c>
      <c r="T2">
        <v>0</v>
      </c>
      <c r="U2">
        <v>0</v>
      </c>
      <c r="V2">
        <v>4</v>
      </c>
      <c r="W2">
        <v>1</v>
      </c>
      <c r="X2">
        <v>1</v>
      </c>
      <c r="Y2">
        <v>1</v>
      </c>
      <c r="Z2">
        <v>3</v>
      </c>
      <c r="AA2">
        <v>5</v>
      </c>
      <c r="AB2">
        <v>3</v>
      </c>
      <c r="AC2">
        <v>7</v>
      </c>
      <c r="AD2">
        <v>0</v>
      </c>
      <c r="AE2">
        <v>1</v>
      </c>
      <c r="AF2">
        <v>0</v>
      </c>
      <c r="AG2">
        <v>1</v>
      </c>
      <c r="AH2">
        <v>0</v>
      </c>
      <c r="AI2">
        <v>1</v>
      </c>
      <c r="AJ2">
        <v>1</v>
      </c>
      <c r="AK2">
        <v>1</v>
      </c>
      <c r="AL2">
        <v>0</v>
      </c>
      <c r="AM2">
        <v>0</v>
      </c>
      <c r="AN2">
        <v>0</v>
      </c>
      <c r="AO2">
        <v>3</v>
      </c>
      <c r="AP2">
        <v>5</v>
      </c>
      <c r="AQ2">
        <v>3</v>
      </c>
      <c r="AR2">
        <v>7</v>
      </c>
      <c r="AS2">
        <v>0</v>
      </c>
      <c r="AT2">
        <v>0</v>
      </c>
      <c r="AU2">
        <v>1</v>
      </c>
      <c r="AV2">
        <v>1</v>
      </c>
      <c r="AW2">
        <v>0</v>
      </c>
      <c r="AX2">
        <v>1</v>
      </c>
      <c r="AY2">
        <v>0</v>
      </c>
      <c r="AZ2">
        <v>1</v>
      </c>
      <c r="BA2">
        <v>1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1</v>
      </c>
      <c r="BK2">
        <v>0</v>
      </c>
      <c r="BL2">
        <v>0</v>
      </c>
      <c r="BM2">
        <v>0</v>
      </c>
      <c r="BN2">
        <v>42</v>
      </c>
      <c r="BO2">
        <v>38</v>
      </c>
      <c r="BP2">
        <v>4</v>
      </c>
      <c r="BQ2">
        <v>3</v>
      </c>
      <c r="BR2">
        <v>1</v>
      </c>
      <c r="BS2">
        <v>1</v>
      </c>
      <c r="BT2">
        <v>0</v>
      </c>
      <c r="BU2">
        <v>0</v>
      </c>
      <c r="BV2">
        <v>0</v>
      </c>
      <c r="BW2">
        <v>0.25</v>
      </c>
      <c r="BX2">
        <v>0</v>
      </c>
      <c r="BY2">
        <v>5</v>
      </c>
      <c r="BZ2">
        <v>4</v>
      </c>
      <c r="CA2">
        <v>1</v>
      </c>
      <c r="CB2">
        <v>1</v>
      </c>
      <c r="CC2">
        <v>33</v>
      </c>
      <c r="CD2">
        <v>17</v>
      </c>
      <c r="CE2">
        <v>13</v>
      </c>
      <c r="CF2">
        <v>2</v>
      </c>
      <c r="CG2">
        <v>2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217</v>
      </c>
      <c r="F3">
        <v>106</v>
      </c>
      <c r="G3">
        <v>36</v>
      </c>
      <c r="H3">
        <v>19</v>
      </c>
      <c r="I3">
        <v>0</v>
      </c>
      <c r="J3">
        <v>0</v>
      </c>
      <c r="K3">
        <v>1</v>
      </c>
      <c r="L3">
        <v>0</v>
      </c>
      <c r="M3">
        <v>0</v>
      </c>
      <c r="N3">
        <v>20</v>
      </c>
      <c r="O3">
        <v>14</v>
      </c>
      <c r="P3">
        <v>5</v>
      </c>
      <c r="Q3">
        <v>1</v>
      </c>
      <c r="R3">
        <v>0</v>
      </c>
      <c r="S3">
        <v>0</v>
      </c>
      <c r="T3">
        <v>0</v>
      </c>
      <c r="U3">
        <v>0</v>
      </c>
      <c r="V3">
        <v>5</v>
      </c>
      <c r="W3">
        <v>3</v>
      </c>
      <c r="X3">
        <v>0</v>
      </c>
      <c r="Y3">
        <v>0</v>
      </c>
      <c r="Z3">
        <v>8</v>
      </c>
      <c r="AA3">
        <v>5</v>
      </c>
      <c r="AB3">
        <v>1</v>
      </c>
      <c r="AC3">
        <v>7</v>
      </c>
      <c r="AD3">
        <v>0</v>
      </c>
      <c r="AE3">
        <v>0</v>
      </c>
      <c r="AF3">
        <v>0</v>
      </c>
      <c r="AG3">
        <v>4</v>
      </c>
      <c r="AH3">
        <v>3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8</v>
      </c>
      <c r="AP3">
        <v>5</v>
      </c>
      <c r="AQ3">
        <v>1</v>
      </c>
      <c r="AR3">
        <v>7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0</v>
      </c>
      <c r="BM3">
        <v>0</v>
      </c>
      <c r="BN3">
        <v>20</v>
      </c>
      <c r="BO3">
        <v>14</v>
      </c>
      <c r="BP3">
        <v>5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0</v>
      </c>
      <c r="CB3">
        <v>0</v>
      </c>
      <c r="CC3">
        <v>24</v>
      </c>
      <c r="CD3">
        <v>6</v>
      </c>
      <c r="CE3">
        <v>4</v>
      </c>
      <c r="CF3">
        <v>1</v>
      </c>
      <c r="CG3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229</v>
      </c>
      <c r="F2">
        <v>102</v>
      </c>
      <c r="G2">
        <v>98</v>
      </c>
      <c r="H2">
        <v>80</v>
      </c>
      <c r="I2">
        <v>0</v>
      </c>
      <c r="J2">
        <v>0</v>
      </c>
      <c r="K2">
        <v>0</v>
      </c>
      <c r="L2">
        <v>0</v>
      </c>
      <c r="M2">
        <v>0.23</v>
      </c>
      <c r="N2">
        <v>81</v>
      </c>
      <c r="O2">
        <v>72</v>
      </c>
      <c r="P2">
        <v>10</v>
      </c>
      <c r="Q2">
        <v>9</v>
      </c>
      <c r="R2">
        <v>2</v>
      </c>
      <c r="S2">
        <v>1</v>
      </c>
      <c r="T2">
        <v>0</v>
      </c>
      <c r="U2">
        <v>0</v>
      </c>
      <c r="V2">
        <v>7</v>
      </c>
      <c r="W2">
        <v>5</v>
      </c>
      <c r="X2">
        <v>0</v>
      </c>
      <c r="Y2">
        <v>0</v>
      </c>
      <c r="Z2">
        <v>5</v>
      </c>
      <c r="AA2">
        <v>9</v>
      </c>
      <c r="AB2">
        <v>1</v>
      </c>
      <c r="AC2">
        <v>11</v>
      </c>
      <c r="AD2">
        <v>4</v>
      </c>
      <c r="AE2">
        <v>0</v>
      </c>
      <c r="AF2">
        <v>0</v>
      </c>
      <c r="AG2">
        <v>3</v>
      </c>
      <c r="AH2">
        <v>2</v>
      </c>
      <c r="AI2">
        <v>0</v>
      </c>
      <c r="AJ2">
        <v>0</v>
      </c>
      <c r="AK2">
        <v>2</v>
      </c>
      <c r="AL2">
        <v>2</v>
      </c>
      <c r="AM2">
        <v>1</v>
      </c>
      <c r="AN2">
        <v>1</v>
      </c>
      <c r="AO2">
        <v>5</v>
      </c>
      <c r="AP2">
        <v>9</v>
      </c>
      <c r="AQ2">
        <v>1</v>
      </c>
      <c r="AR2">
        <v>11</v>
      </c>
      <c r="AS2">
        <v>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0.23</v>
      </c>
      <c r="BC2">
        <v>0</v>
      </c>
      <c r="BD2">
        <v>2</v>
      </c>
      <c r="BE2">
        <v>1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81</v>
      </c>
      <c r="BO2">
        <v>72</v>
      </c>
      <c r="BP2">
        <v>10</v>
      </c>
      <c r="BQ2">
        <v>9</v>
      </c>
      <c r="BR2">
        <v>1</v>
      </c>
      <c r="BS2">
        <v>1</v>
      </c>
      <c r="BT2">
        <v>2</v>
      </c>
      <c r="BU2">
        <v>1</v>
      </c>
      <c r="BV2">
        <v>0</v>
      </c>
      <c r="BW2">
        <v>0.23</v>
      </c>
      <c r="BX2">
        <v>0</v>
      </c>
      <c r="BY2">
        <v>17</v>
      </c>
      <c r="BZ2">
        <v>14</v>
      </c>
      <c r="CA2">
        <v>1</v>
      </c>
      <c r="CB2">
        <v>1</v>
      </c>
      <c r="CC2">
        <v>64</v>
      </c>
      <c r="CD2">
        <v>21</v>
      </c>
      <c r="CE2">
        <v>17</v>
      </c>
      <c r="CF2">
        <v>14</v>
      </c>
      <c r="CG2">
        <v>12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221</v>
      </c>
      <c r="F3">
        <v>93</v>
      </c>
      <c r="G3">
        <v>32</v>
      </c>
      <c r="H3">
        <v>19</v>
      </c>
      <c r="I3">
        <v>0</v>
      </c>
      <c r="J3">
        <v>0</v>
      </c>
      <c r="K3">
        <v>2</v>
      </c>
      <c r="L3">
        <v>0</v>
      </c>
      <c r="M3">
        <v>0.01</v>
      </c>
      <c r="N3">
        <v>15</v>
      </c>
      <c r="O3">
        <v>12</v>
      </c>
      <c r="P3">
        <v>4</v>
      </c>
      <c r="Q3">
        <v>2</v>
      </c>
      <c r="R3">
        <v>0</v>
      </c>
      <c r="S3">
        <v>0</v>
      </c>
      <c r="T3">
        <v>0</v>
      </c>
      <c r="U3">
        <v>0</v>
      </c>
      <c r="V3">
        <v>9</v>
      </c>
      <c r="W3">
        <v>5</v>
      </c>
      <c r="X3">
        <v>2</v>
      </c>
      <c r="Y3">
        <v>1</v>
      </c>
      <c r="Z3">
        <v>2</v>
      </c>
      <c r="AA3">
        <v>2</v>
      </c>
      <c r="AB3">
        <v>0</v>
      </c>
      <c r="AC3">
        <v>8</v>
      </c>
      <c r="AD3">
        <v>4</v>
      </c>
      <c r="AE3">
        <v>0</v>
      </c>
      <c r="AF3">
        <v>0</v>
      </c>
      <c r="AG3">
        <v>4</v>
      </c>
      <c r="AH3">
        <v>3</v>
      </c>
      <c r="AI3">
        <v>2</v>
      </c>
      <c r="AJ3">
        <v>1</v>
      </c>
      <c r="AK3">
        <v>0</v>
      </c>
      <c r="AL3">
        <v>0</v>
      </c>
      <c r="AM3">
        <v>1</v>
      </c>
      <c r="AN3">
        <v>1</v>
      </c>
      <c r="AO3">
        <v>2</v>
      </c>
      <c r="AP3">
        <v>2</v>
      </c>
      <c r="AQ3">
        <v>0</v>
      </c>
      <c r="AR3">
        <v>8</v>
      </c>
      <c r="AS3">
        <v>4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</v>
      </c>
      <c r="BA3">
        <v>0</v>
      </c>
      <c r="BB3">
        <v>0.01</v>
      </c>
      <c r="BC3">
        <v>0</v>
      </c>
      <c r="BD3">
        <v>0</v>
      </c>
      <c r="BE3">
        <v>0</v>
      </c>
      <c r="BF3">
        <v>0</v>
      </c>
      <c r="BG3">
        <v>0</v>
      </c>
      <c r="BH3">
        <v>2</v>
      </c>
      <c r="BI3">
        <v>1</v>
      </c>
      <c r="BJ3">
        <v>0</v>
      </c>
      <c r="BK3">
        <v>0</v>
      </c>
      <c r="BL3">
        <v>0</v>
      </c>
      <c r="BM3">
        <v>1</v>
      </c>
      <c r="BN3">
        <v>15</v>
      </c>
      <c r="BO3">
        <v>12</v>
      </c>
      <c r="BP3">
        <v>4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24</v>
      </c>
      <c r="CD3">
        <v>5</v>
      </c>
      <c r="CE3">
        <v>2</v>
      </c>
      <c r="CF3">
        <v>6</v>
      </c>
      <c r="CG3">
        <v>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220</v>
      </c>
      <c r="F2">
        <v>92</v>
      </c>
      <c r="G2">
        <v>26</v>
      </c>
      <c r="H2">
        <v>9</v>
      </c>
      <c r="I2">
        <v>0</v>
      </c>
      <c r="J2">
        <v>0</v>
      </c>
      <c r="K2">
        <v>1</v>
      </c>
      <c r="L2">
        <v>0</v>
      </c>
      <c r="M2">
        <v>0.1</v>
      </c>
      <c r="N2">
        <v>11</v>
      </c>
      <c r="O2">
        <v>6</v>
      </c>
      <c r="P2">
        <v>1</v>
      </c>
      <c r="Q2">
        <v>0</v>
      </c>
      <c r="R2">
        <v>1</v>
      </c>
      <c r="S2">
        <v>0</v>
      </c>
      <c r="T2">
        <v>2</v>
      </c>
      <c r="U2">
        <v>2</v>
      </c>
      <c r="V2">
        <v>11</v>
      </c>
      <c r="W2">
        <v>3</v>
      </c>
      <c r="X2">
        <v>2</v>
      </c>
      <c r="Y2">
        <v>0</v>
      </c>
      <c r="Z2">
        <v>1</v>
      </c>
      <c r="AA2">
        <v>8</v>
      </c>
      <c r="AB2">
        <v>3</v>
      </c>
      <c r="AC2">
        <v>1</v>
      </c>
      <c r="AD2">
        <v>1</v>
      </c>
      <c r="AE2">
        <v>1</v>
      </c>
      <c r="AF2">
        <v>0</v>
      </c>
      <c r="AG2">
        <v>2</v>
      </c>
      <c r="AH2">
        <v>0</v>
      </c>
      <c r="AI2">
        <v>2</v>
      </c>
      <c r="AJ2">
        <v>0</v>
      </c>
      <c r="AK2">
        <v>2</v>
      </c>
      <c r="AL2">
        <v>1</v>
      </c>
      <c r="AM2">
        <v>0</v>
      </c>
      <c r="AN2">
        <v>0</v>
      </c>
      <c r="AO2">
        <v>1</v>
      </c>
      <c r="AP2">
        <v>8</v>
      </c>
      <c r="AQ2">
        <v>3</v>
      </c>
      <c r="AR2">
        <v>1</v>
      </c>
      <c r="AS2">
        <v>1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0.1</v>
      </c>
      <c r="BC2">
        <v>0</v>
      </c>
      <c r="BD2">
        <v>1</v>
      </c>
      <c r="BE2">
        <v>0</v>
      </c>
      <c r="BF2">
        <v>2</v>
      </c>
      <c r="BG2">
        <v>2</v>
      </c>
      <c r="BH2">
        <v>5</v>
      </c>
      <c r="BI2">
        <v>2</v>
      </c>
      <c r="BJ2">
        <v>0</v>
      </c>
      <c r="BK2">
        <v>0</v>
      </c>
      <c r="BL2">
        <v>0</v>
      </c>
      <c r="BM2">
        <v>2</v>
      </c>
      <c r="BN2">
        <v>11</v>
      </c>
      <c r="BO2">
        <v>6</v>
      </c>
      <c r="BP2">
        <v>1</v>
      </c>
      <c r="BQ2">
        <v>0</v>
      </c>
      <c r="BR2">
        <v>0</v>
      </c>
      <c r="BS2">
        <v>0</v>
      </c>
      <c r="BT2">
        <v>1</v>
      </c>
      <c r="BU2">
        <v>0</v>
      </c>
      <c r="BV2">
        <v>0</v>
      </c>
      <c r="BW2">
        <v>0.01</v>
      </c>
      <c r="BX2">
        <v>0</v>
      </c>
      <c r="BY2">
        <v>0</v>
      </c>
      <c r="BZ2">
        <v>0</v>
      </c>
      <c r="CA2">
        <v>0</v>
      </c>
      <c r="CB2">
        <v>0</v>
      </c>
      <c r="CC2">
        <v>14</v>
      </c>
      <c r="CD2">
        <v>3</v>
      </c>
      <c r="CE2">
        <v>2</v>
      </c>
      <c r="CF2">
        <v>2</v>
      </c>
      <c r="CG2">
        <v>1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220</v>
      </c>
      <c r="F3">
        <v>93</v>
      </c>
      <c r="G3">
        <v>22</v>
      </c>
      <c r="H3">
        <v>10</v>
      </c>
      <c r="I3">
        <v>0</v>
      </c>
      <c r="J3">
        <v>1</v>
      </c>
      <c r="K3">
        <v>2</v>
      </c>
      <c r="L3">
        <v>2</v>
      </c>
      <c r="M3">
        <v>0.24</v>
      </c>
      <c r="N3">
        <v>8</v>
      </c>
      <c r="O3">
        <v>4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9</v>
      </c>
      <c r="W3">
        <v>4</v>
      </c>
      <c r="X3">
        <v>2</v>
      </c>
      <c r="Y3">
        <v>1</v>
      </c>
      <c r="Z3">
        <v>0</v>
      </c>
      <c r="AA3">
        <v>9</v>
      </c>
      <c r="AB3">
        <v>1</v>
      </c>
      <c r="AC3">
        <v>7</v>
      </c>
      <c r="AD3">
        <v>2</v>
      </c>
      <c r="AE3">
        <v>0</v>
      </c>
      <c r="AF3">
        <v>0</v>
      </c>
      <c r="AG3">
        <v>2</v>
      </c>
      <c r="AH3">
        <v>2</v>
      </c>
      <c r="AI3">
        <v>2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9</v>
      </c>
      <c r="AQ3">
        <v>1</v>
      </c>
      <c r="AR3">
        <v>7</v>
      </c>
      <c r="AS3">
        <v>2</v>
      </c>
      <c r="AT3">
        <v>0</v>
      </c>
      <c r="AU3">
        <v>0</v>
      </c>
      <c r="AV3">
        <v>0</v>
      </c>
      <c r="AW3">
        <v>0</v>
      </c>
      <c r="AX3">
        <v>0</v>
      </c>
      <c r="AY3">
        <v>1</v>
      </c>
      <c r="AZ3">
        <v>2</v>
      </c>
      <c r="BA3">
        <v>2</v>
      </c>
      <c r="BB3">
        <v>0.24</v>
      </c>
      <c r="BC3">
        <v>0</v>
      </c>
      <c r="BD3">
        <v>2</v>
      </c>
      <c r="BE3">
        <v>1</v>
      </c>
      <c r="BF3">
        <v>0</v>
      </c>
      <c r="BG3">
        <v>0</v>
      </c>
      <c r="BH3">
        <v>5</v>
      </c>
      <c r="BI3">
        <v>1</v>
      </c>
      <c r="BJ3">
        <v>0</v>
      </c>
      <c r="BK3">
        <v>0</v>
      </c>
      <c r="BL3">
        <v>0</v>
      </c>
      <c r="BM3">
        <v>2</v>
      </c>
      <c r="BN3">
        <v>8</v>
      </c>
      <c r="BO3">
        <v>4</v>
      </c>
      <c r="BP3">
        <v>1</v>
      </c>
      <c r="BQ3">
        <v>0</v>
      </c>
      <c r="BR3">
        <v>1</v>
      </c>
      <c r="BS3">
        <v>1</v>
      </c>
      <c r="BT3">
        <v>2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17</v>
      </c>
      <c r="CD3">
        <v>2</v>
      </c>
      <c r="CE3">
        <v>1</v>
      </c>
      <c r="CF3">
        <v>0</v>
      </c>
      <c r="CG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220</v>
      </c>
      <c r="F2">
        <v>10</v>
      </c>
      <c r="G2">
        <v>8</v>
      </c>
      <c r="H2">
        <v>4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1</v>
      </c>
      <c r="Q2">
        <v>1</v>
      </c>
      <c r="R2">
        <v>0</v>
      </c>
      <c r="S2">
        <v>0</v>
      </c>
      <c r="T2">
        <v>0</v>
      </c>
      <c r="U2">
        <v>0</v>
      </c>
      <c r="V2">
        <v>5</v>
      </c>
      <c r="W2">
        <v>3</v>
      </c>
      <c r="X2">
        <v>1</v>
      </c>
      <c r="Y2">
        <v>0</v>
      </c>
      <c r="Z2">
        <v>0</v>
      </c>
      <c r="AA2">
        <v>3</v>
      </c>
      <c r="AB2">
        <v>0</v>
      </c>
      <c r="AC2">
        <v>1</v>
      </c>
      <c r="AD2">
        <v>0</v>
      </c>
      <c r="AE2">
        <v>0</v>
      </c>
      <c r="AF2">
        <v>0</v>
      </c>
      <c r="AG2">
        <v>3</v>
      </c>
      <c r="AH2">
        <v>3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3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1</v>
      </c>
      <c r="BQ2">
        <v>1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0</v>
      </c>
      <c r="CB2">
        <v>0</v>
      </c>
      <c r="CC2">
        <v>3</v>
      </c>
      <c r="CD2">
        <v>2</v>
      </c>
      <c r="CE2">
        <v>1</v>
      </c>
      <c r="CF2">
        <v>0</v>
      </c>
      <c r="CG2">
        <v>0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220</v>
      </c>
      <c r="F3">
        <v>13</v>
      </c>
      <c r="G3">
        <v>3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1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214</v>
      </c>
      <c r="B2" t="s">
        <v>215</v>
      </c>
      <c r="C2" t="s">
        <v>106</v>
      </c>
      <c r="D2" t="s">
        <v>216</v>
      </c>
      <c r="E2" t="s">
        <v>221</v>
      </c>
      <c r="F2">
        <v>36</v>
      </c>
      <c r="G2">
        <v>9</v>
      </c>
      <c r="H2">
        <v>6</v>
      </c>
      <c r="I2">
        <v>1</v>
      </c>
      <c r="J2">
        <v>0</v>
      </c>
      <c r="K2">
        <v>2</v>
      </c>
      <c r="L2">
        <v>2</v>
      </c>
      <c r="M2">
        <v>0.21</v>
      </c>
      <c r="N2">
        <v>3</v>
      </c>
      <c r="O2">
        <v>2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3</v>
      </c>
      <c r="W2">
        <v>2</v>
      </c>
      <c r="X2">
        <v>0</v>
      </c>
      <c r="Y2">
        <v>0</v>
      </c>
      <c r="Z2">
        <v>1</v>
      </c>
      <c r="AA2">
        <v>0</v>
      </c>
      <c r="AB2">
        <v>0</v>
      </c>
      <c r="AC2">
        <v>3</v>
      </c>
      <c r="AD2">
        <v>0</v>
      </c>
      <c r="AE2">
        <v>0</v>
      </c>
      <c r="AF2">
        <v>0</v>
      </c>
      <c r="AG2">
        <v>2</v>
      </c>
      <c r="AH2">
        <v>2</v>
      </c>
      <c r="AI2">
        <v>0</v>
      </c>
      <c r="AJ2">
        <v>0</v>
      </c>
      <c r="AK2">
        <v>0</v>
      </c>
      <c r="AL2">
        <v>0</v>
      </c>
      <c r="AM2">
        <v>1</v>
      </c>
      <c r="AN2">
        <v>1</v>
      </c>
      <c r="AO2">
        <v>1</v>
      </c>
      <c r="AP2">
        <v>0</v>
      </c>
      <c r="AQ2">
        <v>0</v>
      </c>
      <c r="AR2">
        <v>3</v>
      </c>
      <c r="AS2">
        <v>0</v>
      </c>
      <c r="AT2">
        <v>0</v>
      </c>
      <c r="AU2">
        <v>0</v>
      </c>
      <c r="AV2">
        <v>0</v>
      </c>
      <c r="AW2">
        <v>0</v>
      </c>
      <c r="AX2">
        <v>1</v>
      </c>
      <c r="AY2">
        <v>0</v>
      </c>
      <c r="AZ2">
        <v>2</v>
      </c>
      <c r="BA2">
        <v>2</v>
      </c>
      <c r="BB2">
        <v>0.21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2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4</v>
      </c>
      <c r="CD2">
        <v>3</v>
      </c>
      <c r="CE2">
        <v>3</v>
      </c>
      <c r="CF2">
        <v>0</v>
      </c>
      <c r="CG2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29</vt:i4>
      </vt:variant>
    </vt:vector>
  </HeadingPairs>
  <TitlesOfParts>
    <vt:vector size="29" baseType="lpstr">
      <vt:lpstr>Stats gen N2</vt:lpstr>
      <vt:lpstr>Stats gen L3</vt:lpstr>
      <vt:lpstr>Stats off N2</vt:lpstr>
      <vt:lpstr>Stats off L3</vt:lpstr>
      <vt:lpstr>Stats def N2</vt:lpstr>
      <vt:lpstr>Stats def L3</vt:lpstr>
      <vt:lpstr>Stats pass N2</vt:lpstr>
      <vt:lpstr>Stats pass L3</vt:lpstr>
      <vt:lpstr>Stats index N2</vt:lpstr>
      <vt:lpstr>Stats index L3</vt:lpstr>
      <vt:lpstr>Samir Bouzar</vt:lpstr>
      <vt:lpstr>Cachito Wanduka</vt:lpstr>
      <vt:lpstr>Marly Rampont</vt:lpstr>
      <vt:lpstr>Muamer Aljic</vt:lpstr>
      <vt:lpstr>David Luvualu</vt:lpstr>
      <vt:lpstr>Jérémy Lauratet</vt:lpstr>
      <vt:lpstr>Samed Kilic</vt:lpstr>
      <vt:lpstr>Jalil Moustaid</vt:lpstr>
      <vt:lpstr>Clément Couturier</vt:lpstr>
      <vt:lpstr>Bryan Labissière</vt:lpstr>
      <vt:lpstr>Alexis Gouletquer</vt:lpstr>
      <vt:lpstr>Karim Bouhmidi</vt:lpstr>
      <vt:lpstr>Chafik Gourichy</vt:lpstr>
      <vt:lpstr>Bourama Diarra</vt:lpstr>
      <vt:lpstr>Jérémy Atangana</vt:lpstr>
      <vt:lpstr>Emmanuel Montet</vt:lpstr>
      <vt:lpstr>Kyllian Tubio</vt:lpstr>
      <vt:lpstr>Gauthier Laurens</vt:lpstr>
      <vt:lpstr>Fadel Gobitaka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Rémi Dendani</cp:lastModifiedBy>
  <dcterms:created xsi:type="dcterms:W3CDTF">2026-08-13T11:42:25Z</dcterms:created>
  <dcterms:modified xsi:type="dcterms:W3CDTF">2026-08-15T15:06:43Z</dcterms:modified>
</cp:coreProperties>
</file>