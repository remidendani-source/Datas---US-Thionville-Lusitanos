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mdendani/Desktop/dashboard_lusitanos/"/>
    </mc:Choice>
  </mc:AlternateContent>
  <xr:revisionPtr revIDLastSave="0" documentId="13_ncr:1_{A14994C5-5794-D543-B569-1BA53B61521D}" xr6:coauthVersionLast="47" xr6:coauthVersionMax="47" xr10:uidLastSave="{00000000-0000-0000-0000-000000000000}"/>
  <bookViews>
    <workbookView xWindow="960" yWindow="660" windowWidth="26500" windowHeight="18460" xr2:uid="{00000000-000D-0000-FFFF-FFFF00000000}"/>
  </bookViews>
  <sheets>
    <sheet name="Stats gen" sheetId="2" r:id="rId1"/>
    <sheet name="Stats off" sheetId="1" r:id="rId2"/>
    <sheet name="Stats def" sheetId="3" r:id="rId3"/>
    <sheet name="Stats pass" sheetId="4" r:id="rId4"/>
    <sheet name="Stats index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" l="1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M3" i="5"/>
  <c r="L3" i="5"/>
  <c r="K3" i="5"/>
  <c r="J3" i="5"/>
  <c r="I3" i="5"/>
  <c r="H3" i="5"/>
  <c r="M2" i="5"/>
  <c r="L2" i="5"/>
  <c r="K2" i="5"/>
  <c r="J2" i="5"/>
  <c r="I2" i="5"/>
  <c r="H2" i="5"/>
</calcChain>
</file>

<file path=xl/sharedStrings.xml><?xml version="1.0" encoding="utf-8"?>
<sst xmlns="http://schemas.openxmlformats.org/spreadsheetml/2006/main" count="801" uniqueCount="161">
  <si>
    <t>Date</t>
  </si>
  <si>
    <t>Match</t>
  </si>
  <si>
    <t>Competition</t>
  </si>
  <si>
    <t>Duration</t>
  </si>
  <si>
    <t>Team</t>
  </si>
  <si>
    <t>Scheme</t>
  </si>
  <si>
    <t>xG</t>
  </si>
  <si>
    <t>Offsides</t>
  </si>
  <si>
    <t>Thionville Lusitanos</t>
  </si>
  <si>
    <t>Opponents</t>
  </si>
  <si>
    <t>2026-04-11</t>
  </si>
  <si>
    <t>Thionville Lusitanos - Feignies-Aulnoye 1:0</t>
  </si>
  <si>
    <t>France. National 2</t>
  </si>
  <si>
    <t>3-4-1-2 (100.0%)</t>
  </si>
  <si>
    <t>Feignies-Aulnoye</t>
  </si>
  <si>
    <t>4-2-3-1 (66.9%)</t>
  </si>
  <si>
    <t>2026-04-04</t>
  </si>
  <si>
    <t>Dieppe - Thionville Lusitanos 2:3</t>
  </si>
  <si>
    <t>3-5-2 (100.0%)</t>
  </si>
  <si>
    <t>Dieppe</t>
  </si>
  <si>
    <t>4-4-2 (100.0%)</t>
  </si>
  <si>
    <t>2026-03-29</t>
  </si>
  <si>
    <t>Thionville Lusitanos - Beauvais AS 1:1</t>
  </si>
  <si>
    <t>Beauvais AS</t>
  </si>
  <si>
    <t>2026-03-21</t>
  </si>
  <si>
    <t>Furiani Agliani - Thionville Lusitanos 2:4</t>
  </si>
  <si>
    <t>3-4-1-2 (87.44%)</t>
  </si>
  <si>
    <t>Furiani Agliani</t>
  </si>
  <si>
    <t>3-4-3 (100.0%)</t>
  </si>
  <si>
    <t>2026-03-14</t>
  </si>
  <si>
    <t>Thionville Lusitanos - Épinal 2:2</t>
  </si>
  <si>
    <t>5-4-1 (100.0%)</t>
  </si>
  <si>
    <t>Épinal</t>
  </si>
  <si>
    <t>4-2-3-1 (72.37%)</t>
  </si>
  <si>
    <t>2026-03-07</t>
  </si>
  <si>
    <t>St-Pryvé St-Hilaire - Thionville Lusitanos 1:2</t>
  </si>
  <si>
    <t>5-3-2 (100.0%)</t>
  </si>
  <si>
    <t>St-Pryvé St-Hilaire</t>
  </si>
  <si>
    <t>4-4-2 (56.63%)</t>
  </si>
  <si>
    <t>2026-02-28</t>
  </si>
  <si>
    <t>Bourges Foot 18 - Thionville Lusitanos 0:0</t>
  </si>
  <si>
    <t>Bourges Foot 18</t>
  </si>
  <si>
    <t>4-4-2 (59.16%)</t>
  </si>
  <si>
    <t>2026-02-07</t>
  </si>
  <si>
    <t>Thionville Lusitanos - Haguenau 1:3</t>
  </si>
  <si>
    <t>Haguenau</t>
  </si>
  <si>
    <t>2026-01-24</t>
  </si>
  <si>
    <t>Wasquehal - Thionville Lusitanos 0:2</t>
  </si>
  <si>
    <t>Wasquehal</t>
  </si>
  <si>
    <t>Goals</t>
  </si>
  <si>
    <t>Red cards</t>
  </si>
  <si>
    <t>Yellow cards</t>
  </si>
  <si>
    <t>Fouls</t>
  </si>
  <si>
    <t>Clearances</t>
  </si>
  <si>
    <t>Interceptions</t>
  </si>
  <si>
    <t>Conceded goals</t>
  </si>
  <si>
    <t>Goal kicks</t>
  </si>
  <si>
    <t>Average pass length</t>
  </si>
  <si>
    <t>Average shot distance</t>
  </si>
  <si>
    <t>PPDA</t>
  </si>
  <si>
    <t>Long pass %</t>
  </si>
  <si>
    <t>Average passes per possession</t>
  </si>
  <si>
    <t>Match tempo</t>
  </si>
  <si>
    <t xml:space="preserve">Losses Low </t>
  </si>
  <si>
    <t>Losses Medium</t>
  </si>
  <si>
    <t>Losses High</t>
  </si>
  <si>
    <t>Recoveries Low</t>
  </si>
  <si>
    <t>Recoveries Medium</t>
  </si>
  <si>
    <t>Recoveries High</t>
  </si>
  <si>
    <t>Shots</t>
  </si>
  <si>
    <t>Shots on target</t>
  </si>
  <si>
    <t>% Shots on target</t>
  </si>
  <si>
    <t>Positional attacks</t>
  </si>
  <si>
    <t>Positional attacks with shots</t>
  </si>
  <si>
    <t>% Positional attacks with shots</t>
  </si>
  <si>
    <t>Counterattacks</t>
  </si>
  <si>
    <t>Counterattacks with shots</t>
  </si>
  <si>
    <t>% Counterattacks with shots</t>
  </si>
  <si>
    <t>Corners</t>
  </si>
  <si>
    <t>Corners with shots</t>
  </si>
  <si>
    <t>% Corners with shots</t>
  </si>
  <si>
    <t>Free kicks</t>
  </si>
  <si>
    <t>Free kicks with shots</t>
  </si>
  <si>
    <t>% Free kicks with shots</t>
  </si>
  <si>
    <t>Penalties</t>
  </si>
  <si>
    <t>Penalties converted</t>
  </si>
  <si>
    <t>% Penalties converted</t>
  </si>
  <si>
    <t>Crosses</t>
  </si>
  <si>
    <t>Crosses accurate</t>
  </si>
  <si>
    <t>% Crosses accurate</t>
  </si>
  <si>
    <t>Offensive duels</t>
  </si>
  <si>
    <t>Offensive duels won</t>
  </si>
  <si>
    <t>% Offensive duels won</t>
  </si>
  <si>
    <t>Shots against</t>
  </si>
  <si>
    <t>Shots against on target</t>
  </si>
  <si>
    <t>% Shots against on target</t>
  </si>
  <si>
    <t>Defensive duels</t>
  </si>
  <si>
    <t>Defensive duels won</t>
  </si>
  <si>
    <t>% Defensive duels won</t>
  </si>
  <si>
    <t>Aerial duels</t>
  </si>
  <si>
    <t>Aerial duels won</t>
  </si>
  <si>
    <t>% Aerial duels won</t>
  </si>
  <si>
    <t>Sliding tackles</t>
  </si>
  <si>
    <t>Sliding tackles successful</t>
  </si>
  <si>
    <t>% Sliding tackles successful</t>
  </si>
  <si>
    <t>Journée</t>
  </si>
  <si>
    <t>Passes</t>
  </si>
  <si>
    <t>Passes accurate</t>
  </si>
  <si>
    <t>% Passes accurate</t>
  </si>
  <si>
    <t>Forward passes</t>
  </si>
  <si>
    <t>Forward passes accurate</t>
  </si>
  <si>
    <t>% Forward passes accurate</t>
  </si>
  <si>
    <t>Back passes</t>
  </si>
  <si>
    <t>Back passes accurate</t>
  </si>
  <si>
    <t>% Back passes accurate</t>
  </si>
  <si>
    <t>Lateral passes</t>
  </si>
  <si>
    <t>Lateral passes accurate</t>
  </si>
  <si>
    <t>% Lateral passes accurate</t>
  </si>
  <si>
    <t>Long passes</t>
  </si>
  <si>
    <t>Long passes accurate</t>
  </si>
  <si>
    <t>% Long passes accurate</t>
  </si>
  <si>
    <t>Passes to final third</t>
  </si>
  <si>
    <t>Passes to final third accurate</t>
  </si>
  <si>
    <t>% Passes to final third accurate</t>
  </si>
  <si>
    <t>Progressive passes</t>
  </si>
  <si>
    <t>Progressive passes accurate</t>
  </si>
  <si>
    <t>% Progressive passes accurate</t>
  </si>
  <si>
    <t>Smart passes</t>
  </si>
  <si>
    <t>Smart passes accurate</t>
  </si>
  <si>
    <t>% Smart passes accurate</t>
  </si>
  <si>
    <t>Throw ins</t>
  </si>
  <si>
    <t>Throw ins accurate</t>
  </si>
  <si>
    <t>% Throw ins accurate</t>
  </si>
  <si>
    <t>% Possession</t>
  </si>
  <si>
    <t>Duels</t>
  </si>
  <si>
    <t>Recoveries</t>
  </si>
  <si>
    <t>Duels won</t>
  </si>
  <si>
    <t>% Duels won</t>
  </si>
  <si>
    <t>Losses</t>
  </si>
  <si>
    <t>2026-05-02</t>
  </si>
  <si>
    <t>Thionville Lusitanos - Bourges Foot 18 1:4</t>
  </si>
  <si>
    <t>2026-04-25</t>
  </si>
  <si>
    <t>Thionville Lusitanos - Chantilly 3:1</t>
  </si>
  <si>
    <t>3-4-2-1 (100.0%)</t>
  </si>
  <si>
    <t>Chantilly</t>
  </si>
  <si>
    <t>3-4-2-1 (63.13%)</t>
  </si>
  <si>
    <t>2026-04-18</t>
  </si>
  <si>
    <t>Stadium Racing Colmar - Thionville Lusitanos 0:0</t>
  </si>
  <si>
    <t>Stadium Racing Colmar</t>
  </si>
  <si>
    <t>J28</t>
  </si>
  <si>
    <t>J27</t>
  </si>
  <si>
    <t>J26</t>
  </si>
  <si>
    <t>J25</t>
  </si>
  <si>
    <t>J24</t>
  </si>
  <si>
    <t>J23</t>
  </si>
  <si>
    <t>J22</t>
  </si>
  <si>
    <t>J21</t>
  </si>
  <si>
    <t>J20</t>
  </si>
  <si>
    <t>J14</t>
  </si>
  <si>
    <t>J17</t>
  </si>
  <si>
    <t>J16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</si>
</sst>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ria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EFF37-1AD5-7E44-9D78-9573FB1E868B}">
  <dimension ref="A1:AA27"/>
  <sheetViews>
    <sheetView tabSelected="1" workbookViewId="0">
      <selection activeCell="C35" sqref="C35"/>
    </sheetView>
  </sheetViews>
  <sheetFormatPr baseColWidth="10" defaultRowHeight="14" x14ac:dyDescent="0.15"/>
  <cols>
    <col min="2" max="2" width="14.1640625" bestFit="1" customWidth="1"/>
    <col min="3" max="3" width="37.83203125" bestFit="1" customWidth="1"/>
    <col min="6" max="6" width="17.1640625" bestFit="1" customWidth="1"/>
  </cols>
  <sheetData>
    <row r="1" spans="1:27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49</v>
      </c>
      <c r="I1" t="s">
        <v>6</v>
      </c>
      <c r="J1" t="s">
        <v>69</v>
      </c>
      <c r="K1" t="s">
        <v>70</v>
      </c>
      <c r="L1" t="s">
        <v>71</v>
      </c>
      <c r="M1" t="s">
        <v>106</v>
      </c>
      <c r="N1" t="s">
        <v>107</v>
      </c>
      <c r="O1" t="s">
        <v>108</v>
      </c>
      <c r="P1" t="s">
        <v>133</v>
      </c>
      <c r="Q1" t="s">
        <v>138</v>
      </c>
      <c r="R1" t="s">
        <v>63</v>
      </c>
      <c r="S1" t="s">
        <v>64</v>
      </c>
      <c r="T1" t="s">
        <v>65</v>
      </c>
      <c r="U1" t="s">
        <v>135</v>
      </c>
      <c r="V1" t="s">
        <v>66</v>
      </c>
      <c r="W1" t="s">
        <v>67</v>
      </c>
      <c r="X1" t="s">
        <v>68</v>
      </c>
      <c r="Y1" t="s">
        <v>134</v>
      </c>
      <c r="Z1" t="s">
        <v>136</v>
      </c>
      <c r="AA1" t="s">
        <v>137</v>
      </c>
    </row>
    <row r="2" spans="1:27" x14ac:dyDescent="0.15">
      <c r="A2" s="1" t="s">
        <v>8</v>
      </c>
      <c r="B2" s="1"/>
      <c r="C2" s="1"/>
      <c r="D2" s="1"/>
      <c r="E2" s="1"/>
      <c r="F2" s="1"/>
      <c r="G2" s="1"/>
      <c r="H2" s="1">
        <f t="shared" ref="H2:K3" si="0">AVERAGE(H4,H6,H8,H10,H12,H14,H16,H18,H20,H22,H24,H26)</f>
        <v>1.6666666666666667</v>
      </c>
      <c r="I2" s="1">
        <f t="shared" si="0"/>
        <v>1.3758333333333335</v>
      </c>
      <c r="J2" s="1">
        <f t="shared" si="0"/>
        <v>9.25</v>
      </c>
      <c r="K2" s="1">
        <f t="shared" si="0"/>
        <v>4.166666666666667</v>
      </c>
      <c r="L2" s="1">
        <f>IFERROR(SUM(K4,K6,K8,K10,K12,K14,K16,K18,K20,K22,K24,K26)/SUM(J4,J6,J8,J10,J12,J14,J16,J18,J20,J22,J24,J26)*100,0)</f>
        <v>45.045045045045043</v>
      </c>
      <c r="M2" s="1">
        <f>AVERAGE(M4,M6,M8,M10,M12,M14,M16,M18,M20,M22,M24,M26)</f>
        <v>375.33333333333331</v>
      </c>
      <c r="N2" s="1">
        <f>AVERAGE(N4,N6,N8,N10,N12,N14,N16,N18,N20,N22,N24,N26)</f>
        <v>287</v>
      </c>
      <c r="O2" s="1">
        <f>IFERROR(SUM(N4,N6,N8,N10,N12,N14,N16,N18,N20,N22,N24,N26)/SUM(M4,M6,M8,M10,M12,M14,M16,M18,M20,M22,M24,M26)*100,0)</f>
        <v>76.46536412078153</v>
      </c>
      <c r="P2" s="1">
        <f t="shared" ref="P2:Z3" si="1">AVERAGE(P4,P6,P8,P10,P12,P14,P16,P18,P20,P22,P24,P26)</f>
        <v>46.521666666666668</v>
      </c>
      <c r="Q2" s="1">
        <f t="shared" si="1"/>
        <v>137.16666666666666</v>
      </c>
      <c r="R2" s="1">
        <f t="shared" si="1"/>
        <v>21.083333333333332</v>
      </c>
      <c r="S2" s="1">
        <f t="shared" si="1"/>
        <v>52.333333333333336</v>
      </c>
      <c r="T2" s="1">
        <f t="shared" si="1"/>
        <v>63.75</v>
      </c>
      <c r="U2" s="1">
        <f t="shared" si="1"/>
        <v>92.833333333333329</v>
      </c>
      <c r="V2" s="1">
        <f t="shared" si="1"/>
        <v>42</v>
      </c>
      <c r="W2" s="1">
        <f t="shared" si="1"/>
        <v>38.666666666666664</v>
      </c>
      <c r="X2" s="1">
        <f t="shared" si="1"/>
        <v>12.166666666666666</v>
      </c>
      <c r="Y2" s="1">
        <f t="shared" si="1"/>
        <v>219.25</v>
      </c>
      <c r="Z2" s="1">
        <f t="shared" si="1"/>
        <v>108.33333333333333</v>
      </c>
      <c r="AA2" s="1">
        <f>IFERROR(SUM(Z4,Z6,Z8,Z10,Z12,Z14,Z16,Z18,Z20,Z22,Z24,Z26)/SUM(Y4,Y6,Y8,Y10,Y12,Y14,Y16,Y18,Y20,Y22,Y24,Y26)*100,0)</f>
        <v>49.410870391486128</v>
      </c>
    </row>
    <row r="3" spans="1:27" x14ac:dyDescent="0.15">
      <c r="A3" s="1" t="s">
        <v>9</v>
      </c>
      <c r="B3" s="1"/>
      <c r="C3" s="1"/>
      <c r="D3" s="1"/>
      <c r="E3" s="1"/>
      <c r="F3" s="1"/>
      <c r="G3" s="1"/>
      <c r="H3" s="1">
        <f t="shared" si="0"/>
        <v>1.3333333333333333</v>
      </c>
      <c r="I3" s="1">
        <f t="shared" si="0"/>
        <v>1.4500000000000002</v>
      </c>
      <c r="J3" s="1">
        <f t="shared" si="0"/>
        <v>10.833333333333334</v>
      </c>
      <c r="K3" s="1">
        <f t="shared" si="0"/>
        <v>3.9166666666666665</v>
      </c>
      <c r="L3" s="1">
        <f>IFERROR(SUM(K5,K7,K9,K11,K13,K15,K17,K19,K21,K23,K25,K27)/SUM(J5,J7,J9,J11,J13,J15,J17,J19,J21,J23,J25,J27)*100,0)</f>
        <v>36.153846153846153</v>
      </c>
      <c r="M3" s="1">
        <f>AVERAGE(M5,M7,M9,M11,M13,M15,M17,M19,M21,M23,M25,M27)</f>
        <v>390.75</v>
      </c>
      <c r="N3" s="1">
        <f>AVERAGE(N5,N7,N9,N11,N13,N15,N17,N19,N21,N23,N25,N27)</f>
        <v>304.83333333333331</v>
      </c>
      <c r="O3" s="1">
        <f>IFERROR(SUM(N5,N7,N9,N11,N13,N15,N17,N19,N21,N23,N25,N27)/SUM(M5,M7,M9,M11,M13,M15,M17,M19,M21,M23,M25,M27)*100,0)</f>
        <v>78.012369375133289</v>
      </c>
      <c r="P3" s="1">
        <f t="shared" si="1"/>
        <v>53.478333333333332</v>
      </c>
      <c r="Q3" s="1">
        <f t="shared" si="1"/>
        <v>130.08333333333334</v>
      </c>
      <c r="R3" s="1">
        <f t="shared" si="1"/>
        <v>21.666666666666668</v>
      </c>
      <c r="S3" s="1">
        <f t="shared" si="1"/>
        <v>49.75</v>
      </c>
      <c r="T3" s="1">
        <f t="shared" si="1"/>
        <v>58.666666666666664</v>
      </c>
      <c r="U3" s="1">
        <f t="shared" si="1"/>
        <v>97.416666666666671</v>
      </c>
      <c r="V3" s="1">
        <f t="shared" si="1"/>
        <v>45.583333333333336</v>
      </c>
      <c r="W3" s="1">
        <f t="shared" si="1"/>
        <v>40.75</v>
      </c>
      <c r="X3" s="1">
        <f t="shared" si="1"/>
        <v>11.083333333333334</v>
      </c>
      <c r="Y3" s="1">
        <f t="shared" si="1"/>
        <v>219.25</v>
      </c>
      <c r="Z3" s="1">
        <f t="shared" si="1"/>
        <v>99.833333333333329</v>
      </c>
      <c r="AA3" s="1">
        <f>IFERROR(SUM(Z5,Z7,Z9,Z11,Z13,Z15,Z17,Z19,Z21,Z23,Z25,Z27)/SUM(Y5,Y7,Y9,Y11,Y13,Y15,Y17,Y19,Y21,Y23,Y25,Y27)*100,0)</f>
        <v>45.534017483846448</v>
      </c>
    </row>
    <row r="4" spans="1:27" x14ac:dyDescent="0.15">
      <c r="A4" s="3" t="s">
        <v>152</v>
      </c>
      <c r="B4" s="2" t="s">
        <v>139</v>
      </c>
      <c r="C4" s="2" t="s">
        <v>11</v>
      </c>
      <c r="D4" s="2" t="s">
        <v>12</v>
      </c>
      <c r="E4" s="2">
        <v>94</v>
      </c>
      <c r="F4" t="s">
        <v>8</v>
      </c>
      <c r="G4" t="s">
        <v>13</v>
      </c>
      <c r="H4">
        <v>1</v>
      </c>
      <c r="I4">
        <v>0.75</v>
      </c>
      <c r="J4">
        <v>6</v>
      </c>
      <c r="K4">
        <v>2</v>
      </c>
      <c r="L4">
        <v>33.33</v>
      </c>
      <c r="M4">
        <v>515</v>
      </c>
      <c r="N4">
        <v>417</v>
      </c>
      <c r="O4">
        <v>80.97</v>
      </c>
      <c r="P4">
        <v>55.98</v>
      </c>
      <c r="Q4">
        <v>139</v>
      </c>
      <c r="R4">
        <v>21</v>
      </c>
      <c r="S4">
        <v>50</v>
      </c>
      <c r="T4">
        <v>68</v>
      </c>
      <c r="U4">
        <v>111</v>
      </c>
      <c r="V4">
        <v>58</v>
      </c>
      <c r="W4">
        <v>41</v>
      </c>
      <c r="X4">
        <v>12</v>
      </c>
      <c r="Y4">
        <v>187</v>
      </c>
      <c r="Z4">
        <v>97</v>
      </c>
      <c r="AA4">
        <v>51.87</v>
      </c>
    </row>
    <row r="5" spans="1:27" x14ac:dyDescent="0.15">
      <c r="A5" s="3"/>
      <c r="B5" s="2" t="s">
        <v>139</v>
      </c>
      <c r="C5" s="2" t="s">
        <v>11</v>
      </c>
      <c r="D5" s="2" t="s">
        <v>12</v>
      </c>
      <c r="E5" s="2">
        <v>94</v>
      </c>
      <c r="F5" t="s">
        <v>14</v>
      </c>
      <c r="G5" t="s">
        <v>15</v>
      </c>
      <c r="H5">
        <v>0</v>
      </c>
      <c r="I5">
        <v>0.33</v>
      </c>
      <c r="J5">
        <v>8</v>
      </c>
      <c r="K5">
        <v>1</v>
      </c>
      <c r="L5">
        <v>12.5</v>
      </c>
      <c r="M5">
        <v>418</v>
      </c>
      <c r="N5">
        <v>310</v>
      </c>
      <c r="O5">
        <v>74.16</v>
      </c>
      <c r="P5">
        <v>44.02</v>
      </c>
      <c r="Q5">
        <v>139</v>
      </c>
      <c r="R5">
        <v>23</v>
      </c>
      <c r="S5">
        <v>45</v>
      </c>
      <c r="T5">
        <v>71</v>
      </c>
      <c r="U5">
        <v>98</v>
      </c>
      <c r="V5">
        <v>43</v>
      </c>
      <c r="W5">
        <v>46</v>
      </c>
      <c r="X5">
        <v>9</v>
      </c>
      <c r="Y5">
        <v>187</v>
      </c>
      <c r="Z5">
        <v>81</v>
      </c>
      <c r="AA5">
        <v>43.32</v>
      </c>
    </row>
    <row r="6" spans="1:27" x14ac:dyDescent="0.15">
      <c r="A6" s="3" t="s">
        <v>153</v>
      </c>
      <c r="B6" s="2" t="s">
        <v>141</v>
      </c>
      <c r="C6" s="2" t="s">
        <v>17</v>
      </c>
      <c r="D6" s="2" t="s">
        <v>12</v>
      </c>
      <c r="E6" s="2">
        <v>96</v>
      </c>
      <c r="F6" t="s">
        <v>8</v>
      </c>
      <c r="G6" t="s">
        <v>18</v>
      </c>
      <c r="H6">
        <v>3</v>
      </c>
      <c r="I6">
        <v>2.0699999999999998</v>
      </c>
      <c r="J6">
        <v>8</v>
      </c>
      <c r="K6">
        <v>4</v>
      </c>
      <c r="L6">
        <v>50</v>
      </c>
      <c r="M6">
        <v>240</v>
      </c>
      <c r="N6">
        <v>152</v>
      </c>
      <c r="O6">
        <v>63.33</v>
      </c>
      <c r="P6">
        <v>35.19</v>
      </c>
      <c r="Q6">
        <v>132</v>
      </c>
      <c r="R6">
        <v>37</v>
      </c>
      <c r="S6">
        <v>48</v>
      </c>
      <c r="T6">
        <v>47</v>
      </c>
      <c r="U6">
        <v>85</v>
      </c>
      <c r="V6">
        <v>46</v>
      </c>
      <c r="W6">
        <v>32</v>
      </c>
      <c r="X6">
        <v>7</v>
      </c>
      <c r="Y6">
        <v>216</v>
      </c>
      <c r="Z6">
        <v>109</v>
      </c>
      <c r="AA6">
        <v>50.46</v>
      </c>
    </row>
    <row r="7" spans="1:27" x14ac:dyDescent="0.15">
      <c r="A7" s="3"/>
      <c r="B7" s="2" t="s">
        <v>141</v>
      </c>
      <c r="C7" s="2" t="s">
        <v>17</v>
      </c>
      <c r="D7" s="2" t="s">
        <v>12</v>
      </c>
      <c r="E7" s="2">
        <v>96</v>
      </c>
      <c r="F7" t="s">
        <v>19</v>
      </c>
      <c r="G7" t="s">
        <v>20</v>
      </c>
      <c r="H7">
        <v>2</v>
      </c>
      <c r="I7">
        <v>2.12</v>
      </c>
      <c r="J7">
        <v>12</v>
      </c>
      <c r="K7">
        <v>4</v>
      </c>
      <c r="L7">
        <v>33.33</v>
      </c>
      <c r="M7">
        <v>407</v>
      </c>
      <c r="N7">
        <v>316</v>
      </c>
      <c r="O7">
        <v>77.64</v>
      </c>
      <c r="P7">
        <v>64.81</v>
      </c>
      <c r="Q7">
        <v>139</v>
      </c>
      <c r="R7">
        <v>14</v>
      </c>
      <c r="S7">
        <v>46</v>
      </c>
      <c r="T7">
        <v>79</v>
      </c>
      <c r="U7">
        <v>94</v>
      </c>
      <c r="V7">
        <v>39</v>
      </c>
      <c r="W7">
        <v>40</v>
      </c>
      <c r="X7">
        <v>15</v>
      </c>
      <c r="Y7">
        <v>216</v>
      </c>
      <c r="Z7">
        <v>96</v>
      </c>
      <c r="AA7">
        <v>44.44</v>
      </c>
    </row>
    <row r="8" spans="1:27" x14ac:dyDescent="0.15">
      <c r="A8" s="3" t="s">
        <v>154</v>
      </c>
      <c r="B8" s="2" t="s">
        <v>146</v>
      </c>
      <c r="C8" s="2" t="s">
        <v>22</v>
      </c>
      <c r="D8" s="2" t="s">
        <v>12</v>
      </c>
      <c r="E8" s="2">
        <v>100</v>
      </c>
      <c r="F8" t="s">
        <v>8</v>
      </c>
      <c r="G8" t="s">
        <v>13</v>
      </c>
      <c r="H8">
        <v>1</v>
      </c>
      <c r="I8">
        <v>1.52</v>
      </c>
      <c r="J8">
        <v>11</v>
      </c>
      <c r="K8">
        <v>4</v>
      </c>
      <c r="L8">
        <v>36.36</v>
      </c>
      <c r="M8">
        <v>482</v>
      </c>
      <c r="N8">
        <v>391</v>
      </c>
      <c r="O8">
        <v>81.12</v>
      </c>
      <c r="P8">
        <v>55.2</v>
      </c>
      <c r="Q8">
        <v>131</v>
      </c>
      <c r="R8">
        <v>9</v>
      </c>
      <c r="S8">
        <v>52</v>
      </c>
      <c r="T8">
        <v>70</v>
      </c>
      <c r="U8">
        <v>108</v>
      </c>
      <c r="V8">
        <v>45</v>
      </c>
      <c r="W8">
        <v>48</v>
      </c>
      <c r="X8">
        <v>15</v>
      </c>
      <c r="Y8">
        <v>253</v>
      </c>
      <c r="Z8">
        <v>126</v>
      </c>
      <c r="AA8">
        <v>49.8</v>
      </c>
    </row>
    <row r="9" spans="1:27" x14ac:dyDescent="0.15">
      <c r="A9" s="3"/>
      <c r="B9" s="2" t="s">
        <v>146</v>
      </c>
      <c r="C9" s="2" t="s">
        <v>22</v>
      </c>
      <c r="D9" s="2" t="s">
        <v>12</v>
      </c>
      <c r="E9" s="2">
        <v>100</v>
      </c>
      <c r="F9" t="s">
        <v>23</v>
      </c>
      <c r="G9" t="s">
        <v>20</v>
      </c>
      <c r="H9">
        <v>1</v>
      </c>
      <c r="I9">
        <v>0.91</v>
      </c>
      <c r="J9">
        <v>8</v>
      </c>
      <c r="K9">
        <v>1</v>
      </c>
      <c r="L9">
        <v>12.5</v>
      </c>
      <c r="M9">
        <v>312</v>
      </c>
      <c r="N9">
        <v>229</v>
      </c>
      <c r="O9">
        <v>73.400000000000006</v>
      </c>
      <c r="P9">
        <v>44.8</v>
      </c>
      <c r="Q9">
        <v>131</v>
      </c>
      <c r="R9">
        <v>21</v>
      </c>
      <c r="S9">
        <v>51</v>
      </c>
      <c r="T9">
        <v>59</v>
      </c>
      <c r="U9">
        <v>109</v>
      </c>
      <c r="V9">
        <v>56</v>
      </c>
      <c r="W9">
        <v>41</v>
      </c>
      <c r="X9">
        <v>12</v>
      </c>
      <c r="Y9">
        <v>253</v>
      </c>
      <c r="Z9">
        <v>117</v>
      </c>
      <c r="AA9">
        <v>46.25</v>
      </c>
    </row>
    <row r="10" spans="1:27" x14ac:dyDescent="0.15">
      <c r="A10" s="3" t="s">
        <v>155</v>
      </c>
      <c r="B10" s="2" t="s">
        <v>10</v>
      </c>
      <c r="C10" s="2" t="s">
        <v>25</v>
      </c>
      <c r="D10" s="2" t="s">
        <v>12</v>
      </c>
      <c r="E10" s="2">
        <v>97</v>
      </c>
      <c r="F10" t="s">
        <v>8</v>
      </c>
      <c r="G10" t="s">
        <v>26</v>
      </c>
      <c r="H10">
        <v>4</v>
      </c>
      <c r="I10">
        <v>2.21</v>
      </c>
      <c r="J10">
        <v>10</v>
      </c>
      <c r="K10">
        <v>6</v>
      </c>
      <c r="L10">
        <v>60</v>
      </c>
      <c r="M10">
        <v>262</v>
      </c>
      <c r="N10">
        <v>175</v>
      </c>
      <c r="O10">
        <v>66.790000000000006</v>
      </c>
      <c r="P10">
        <v>37.4</v>
      </c>
      <c r="Q10">
        <v>151</v>
      </c>
      <c r="R10">
        <v>30</v>
      </c>
      <c r="S10">
        <v>61</v>
      </c>
      <c r="T10">
        <v>60</v>
      </c>
      <c r="U10">
        <v>90</v>
      </c>
      <c r="V10">
        <v>43</v>
      </c>
      <c r="W10">
        <v>35</v>
      </c>
      <c r="X10">
        <v>12</v>
      </c>
      <c r="Y10">
        <v>251</v>
      </c>
      <c r="Z10">
        <v>127</v>
      </c>
      <c r="AA10">
        <v>50.6</v>
      </c>
    </row>
    <row r="11" spans="1:27" x14ac:dyDescent="0.15">
      <c r="A11" s="3"/>
      <c r="B11" s="2" t="s">
        <v>10</v>
      </c>
      <c r="C11" s="2" t="s">
        <v>25</v>
      </c>
      <c r="D11" s="2" t="s">
        <v>12</v>
      </c>
      <c r="E11" s="2">
        <v>97</v>
      </c>
      <c r="F11" t="s">
        <v>27</v>
      </c>
      <c r="G11" t="s">
        <v>28</v>
      </c>
      <c r="H11">
        <v>2</v>
      </c>
      <c r="I11">
        <v>1.82</v>
      </c>
      <c r="J11">
        <v>13</v>
      </c>
      <c r="K11">
        <v>6</v>
      </c>
      <c r="L11">
        <v>46.15</v>
      </c>
      <c r="M11">
        <v>404</v>
      </c>
      <c r="N11">
        <v>319</v>
      </c>
      <c r="O11">
        <v>78.959999999999994</v>
      </c>
      <c r="P11">
        <v>62.6</v>
      </c>
      <c r="Q11">
        <v>124</v>
      </c>
      <c r="R11">
        <v>16</v>
      </c>
      <c r="S11">
        <v>49</v>
      </c>
      <c r="T11">
        <v>59</v>
      </c>
      <c r="U11">
        <v>106</v>
      </c>
      <c r="V11">
        <v>45</v>
      </c>
      <c r="W11">
        <v>45</v>
      </c>
      <c r="X11">
        <v>16</v>
      </c>
      <c r="Y11">
        <v>251</v>
      </c>
      <c r="Z11">
        <v>105</v>
      </c>
      <c r="AA11">
        <v>41.83</v>
      </c>
    </row>
    <row r="12" spans="1:27" x14ac:dyDescent="0.15">
      <c r="A12" s="3" t="s">
        <v>156</v>
      </c>
      <c r="B12" s="2" t="s">
        <v>16</v>
      </c>
      <c r="C12" s="2" t="s">
        <v>30</v>
      </c>
      <c r="D12" s="2" t="s">
        <v>12</v>
      </c>
      <c r="E12" s="2">
        <v>100</v>
      </c>
      <c r="F12" t="s">
        <v>8</v>
      </c>
      <c r="G12" t="s">
        <v>31</v>
      </c>
      <c r="H12">
        <v>2</v>
      </c>
      <c r="I12">
        <v>1.08</v>
      </c>
      <c r="J12">
        <v>12</v>
      </c>
      <c r="K12">
        <v>4</v>
      </c>
      <c r="L12">
        <v>33.33</v>
      </c>
      <c r="M12">
        <v>306</v>
      </c>
      <c r="N12">
        <v>231</v>
      </c>
      <c r="O12">
        <v>75.489999999999995</v>
      </c>
      <c r="P12">
        <v>41.23</v>
      </c>
      <c r="Q12">
        <v>136</v>
      </c>
      <c r="R12">
        <v>20</v>
      </c>
      <c r="S12">
        <v>47</v>
      </c>
      <c r="T12">
        <v>69</v>
      </c>
      <c r="U12">
        <v>88</v>
      </c>
      <c r="V12">
        <v>34</v>
      </c>
      <c r="W12">
        <v>40</v>
      </c>
      <c r="X12">
        <v>14</v>
      </c>
      <c r="Y12">
        <v>241</v>
      </c>
      <c r="Z12">
        <v>114</v>
      </c>
      <c r="AA12">
        <v>47.3</v>
      </c>
    </row>
    <row r="13" spans="1:27" x14ac:dyDescent="0.15">
      <c r="A13" s="3"/>
      <c r="B13" s="2" t="s">
        <v>16</v>
      </c>
      <c r="C13" s="2" t="s">
        <v>30</v>
      </c>
      <c r="D13" s="2" t="s">
        <v>12</v>
      </c>
      <c r="E13" s="2">
        <v>100</v>
      </c>
      <c r="F13" t="s">
        <v>32</v>
      </c>
      <c r="G13" t="s">
        <v>33</v>
      </c>
      <c r="H13">
        <v>2</v>
      </c>
      <c r="I13">
        <v>0.89</v>
      </c>
      <c r="J13">
        <v>16</v>
      </c>
      <c r="K13">
        <v>5</v>
      </c>
      <c r="L13">
        <v>31.25</v>
      </c>
      <c r="M13">
        <v>398</v>
      </c>
      <c r="N13">
        <v>327</v>
      </c>
      <c r="O13">
        <v>82.16</v>
      </c>
      <c r="P13">
        <v>58.77</v>
      </c>
      <c r="Q13">
        <v>117</v>
      </c>
      <c r="R13">
        <v>27</v>
      </c>
      <c r="S13">
        <v>43</v>
      </c>
      <c r="T13">
        <v>47</v>
      </c>
      <c r="U13">
        <v>105</v>
      </c>
      <c r="V13">
        <v>53</v>
      </c>
      <c r="W13">
        <v>47</v>
      </c>
      <c r="X13">
        <v>5</v>
      </c>
      <c r="Y13">
        <v>241</v>
      </c>
      <c r="Z13">
        <v>118</v>
      </c>
      <c r="AA13">
        <v>48.96</v>
      </c>
    </row>
    <row r="14" spans="1:27" x14ac:dyDescent="0.15">
      <c r="A14" s="3" t="s">
        <v>157</v>
      </c>
      <c r="B14" s="2" t="s">
        <v>21</v>
      </c>
      <c r="C14" s="2" t="s">
        <v>35</v>
      </c>
      <c r="D14" s="2" t="s">
        <v>12</v>
      </c>
      <c r="E14" s="2">
        <v>101</v>
      </c>
      <c r="F14" t="s">
        <v>8</v>
      </c>
      <c r="G14" t="s">
        <v>36</v>
      </c>
      <c r="H14">
        <v>2</v>
      </c>
      <c r="I14">
        <v>1.57</v>
      </c>
      <c r="J14">
        <v>13</v>
      </c>
      <c r="K14">
        <v>5</v>
      </c>
      <c r="L14">
        <v>38.46</v>
      </c>
      <c r="M14">
        <v>298</v>
      </c>
      <c r="N14">
        <v>197</v>
      </c>
      <c r="O14">
        <v>66.11</v>
      </c>
      <c r="P14">
        <v>43.78</v>
      </c>
      <c r="Q14">
        <v>150</v>
      </c>
      <c r="R14">
        <v>29</v>
      </c>
      <c r="S14">
        <v>52</v>
      </c>
      <c r="T14">
        <v>69</v>
      </c>
      <c r="U14">
        <v>85</v>
      </c>
      <c r="V14">
        <v>42</v>
      </c>
      <c r="W14">
        <v>33</v>
      </c>
      <c r="X14">
        <v>10</v>
      </c>
      <c r="Y14">
        <v>206</v>
      </c>
      <c r="Z14">
        <v>108</v>
      </c>
      <c r="AA14">
        <v>52.43</v>
      </c>
    </row>
    <row r="15" spans="1:27" x14ac:dyDescent="0.15">
      <c r="A15" s="3"/>
      <c r="B15" s="2" t="s">
        <v>21</v>
      </c>
      <c r="C15" s="2" t="s">
        <v>35</v>
      </c>
      <c r="D15" s="2" t="s">
        <v>12</v>
      </c>
      <c r="E15" s="2">
        <v>101</v>
      </c>
      <c r="F15" t="s">
        <v>37</v>
      </c>
      <c r="G15" t="s">
        <v>38</v>
      </c>
      <c r="H15">
        <v>1</v>
      </c>
      <c r="I15">
        <v>1.46</v>
      </c>
      <c r="J15">
        <v>9</v>
      </c>
      <c r="K15">
        <v>3</v>
      </c>
      <c r="L15">
        <v>33.33</v>
      </c>
      <c r="M15">
        <v>355</v>
      </c>
      <c r="N15">
        <v>247</v>
      </c>
      <c r="O15">
        <v>69.58</v>
      </c>
      <c r="P15">
        <v>56.22</v>
      </c>
      <c r="Q15">
        <v>146</v>
      </c>
      <c r="R15">
        <v>23</v>
      </c>
      <c r="S15">
        <v>57</v>
      </c>
      <c r="T15">
        <v>66</v>
      </c>
      <c r="U15">
        <v>95</v>
      </c>
      <c r="V15">
        <v>44</v>
      </c>
      <c r="W15">
        <v>38</v>
      </c>
      <c r="X15">
        <v>13</v>
      </c>
      <c r="Y15">
        <v>206</v>
      </c>
      <c r="Z15">
        <v>90</v>
      </c>
      <c r="AA15">
        <v>43.69</v>
      </c>
    </row>
    <row r="16" spans="1:27" x14ac:dyDescent="0.15">
      <c r="A16" s="3" t="s">
        <v>158</v>
      </c>
      <c r="B16" s="2" t="s">
        <v>24</v>
      </c>
      <c r="C16" s="2" t="s">
        <v>40</v>
      </c>
      <c r="D16" s="2" t="s">
        <v>12</v>
      </c>
      <c r="E16" s="2">
        <v>98</v>
      </c>
      <c r="F16" t="s">
        <v>8</v>
      </c>
      <c r="G16" t="s">
        <v>31</v>
      </c>
      <c r="H16">
        <v>0</v>
      </c>
      <c r="I16">
        <v>0.26</v>
      </c>
      <c r="J16">
        <v>6</v>
      </c>
      <c r="K16">
        <v>3</v>
      </c>
      <c r="L16">
        <v>50</v>
      </c>
      <c r="M16">
        <v>387</v>
      </c>
      <c r="N16">
        <v>314</v>
      </c>
      <c r="O16">
        <v>81.14</v>
      </c>
      <c r="P16">
        <v>37.200000000000003</v>
      </c>
      <c r="Q16">
        <v>128</v>
      </c>
      <c r="R16">
        <v>22</v>
      </c>
      <c r="S16">
        <v>54</v>
      </c>
      <c r="T16">
        <v>52</v>
      </c>
      <c r="U16">
        <v>88</v>
      </c>
      <c r="V16">
        <v>43</v>
      </c>
      <c r="W16">
        <v>36</v>
      </c>
      <c r="X16">
        <v>9</v>
      </c>
      <c r="Y16">
        <v>182</v>
      </c>
      <c r="Z16">
        <v>93</v>
      </c>
      <c r="AA16">
        <v>51.1</v>
      </c>
    </row>
    <row r="17" spans="1:27" x14ac:dyDescent="0.15">
      <c r="A17" s="3"/>
      <c r="B17" s="2" t="s">
        <v>24</v>
      </c>
      <c r="C17" s="2" t="s">
        <v>40</v>
      </c>
      <c r="D17" s="2" t="s">
        <v>12</v>
      </c>
      <c r="E17" s="2">
        <v>98</v>
      </c>
      <c r="F17" t="s">
        <v>41</v>
      </c>
      <c r="G17" t="s">
        <v>42</v>
      </c>
      <c r="H17">
        <v>0</v>
      </c>
      <c r="I17">
        <v>1.59</v>
      </c>
      <c r="J17">
        <v>10</v>
      </c>
      <c r="K17">
        <v>3</v>
      </c>
      <c r="L17">
        <v>30</v>
      </c>
      <c r="M17">
        <v>582</v>
      </c>
      <c r="N17">
        <v>490</v>
      </c>
      <c r="O17">
        <v>84.19</v>
      </c>
      <c r="P17">
        <v>62.8</v>
      </c>
      <c r="Q17">
        <v>131</v>
      </c>
      <c r="R17">
        <v>16</v>
      </c>
      <c r="S17">
        <v>47</v>
      </c>
      <c r="T17">
        <v>68</v>
      </c>
      <c r="U17">
        <v>92</v>
      </c>
      <c r="V17">
        <v>30</v>
      </c>
      <c r="W17">
        <v>48</v>
      </c>
      <c r="X17">
        <v>14</v>
      </c>
      <c r="Y17">
        <v>182</v>
      </c>
      <c r="Z17">
        <v>85</v>
      </c>
      <c r="AA17">
        <v>46.7</v>
      </c>
    </row>
    <row r="18" spans="1:27" x14ac:dyDescent="0.15">
      <c r="A18" s="3" t="s">
        <v>159</v>
      </c>
      <c r="B18" s="2" t="s">
        <v>29</v>
      </c>
      <c r="C18" s="2" t="s">
        <v>44</v>
      </c>
      <c r="D18" s="2" t="s">
        <v>12</v>
      </c>
      <c r="E18" s="2">
        <v>99</v>
      </c>
      <c r="F18" t="s">
        <v>8</v>
      </c>
      <c r="G18" t="s">
        <v>28</v>
      </c>
      <c r="H18">
        <v>1</v>
      </c>
      <c r="I18">
        <v>0.53</v>
      </c>
      <c r="J18">
        <v>10</v>
      </c>
      <c r="K18">
        <v>5</v>
      </c>
      <c r="L18">
        <v>50</v>
      </c>
      <c r="M18">
        <v>515</v>
      </c>
      <c r="N18">
        <v>422</v>
      </c>
      <c r="O18">
        <v>81.94</v>
      </c>
      <c r="P18">
        <v>61.47</v>
      </c>
      <c r="Q18">
        <v>150</v>
      </c>
      <c r="R18">
        <v>11</v>
      </c>
      <c r="S18">
        <v>63</v>
      </c>
      <c r="T18">
        <v>76</v>
      </c>
      <c r="U18">
        <v>110</v>
      </c>
      <c r="V18">
        <v>44</v>
      </c>
      <c r="W18">
        <v>49</v>
      </c>
      <c r="X18">
        <v>17</v>
      </c>
      <c r="Y18">
        <v>259</v>
      </c>
      <c r="Z18">
        <v>128</v>
      </c>
      <c r="AA18">
        <v>49.42</v>
      </c>
    </row>
    <row r="19" spans="1:27" x14ac:dyDescent="0.15">
      <c r="A19" s="3"/>
      <c r="B19" s="2" t="s">
        <v>29</v>
      </c>
      <c r="C19" s="2" t="s">
        <v>44</v>
      </c>
      <c r="D19" s="2" t="s">
        <v>12</v>
      </c>
      <c r="E19" s="2">
        <v>99</v>
      </c>
      <c r="F19" t="s">
        <v>45</v>
      </c>
      <c r="G19" t="s">
        <v>31</v>
      </c>
      <c r="H19">
        <v>3</v>
      </c>
      <c r="I19">
        <v>2.1</v>
      </c>
      <c r="J19">
        <v>9</v>
      </c>
      <c r="K19">
        <v>7</v>
      </c>
      <c r="L19">
        <v>77.78</v>
      </c>
      <c r="M19">
        <v>245</v>
      </c>
      <c r="N19">
        <v>175</v>
      </c>
      <c r="O19">
        <v>71.430000000000007</v>
      </c>
      <c r="P19">
        <v>38.53</v>
      </c>
      <c r="Q19">
        <v>129</v>
      </c>
      <c r="R19">
        <v>25</v>
      </c>
      <c r="S19">
        <v>58</v>
      </c>
      <c r="T19">
        <v>46</v>
      </c>
      <c r="U19">
        <v>100</v>
      </c>
      <c r="V19">
        <v>52</v>
      </c>
      <c r="W19">
        <v>39</v>
      </c>
      <c r="X19">
        <v>9</v>
      </c>
      <c r="Y19">
        <v>259</v>
      </c>
      <c r="Z19">
        <v>119</v>
      </c>
      <c r="AA19">
        <v>45.95</v>
      </c>
    </row>
    <row r="20" spans="1:27" x14ac:dyDescent="0.15">
      <c r="A20" s="3" t="s">
        <v>160</v>
      </c>
      <c r="B20" s="2" t="s">
        <v>34</v>
      </c>
      <c r="C20" s="2" t="s">
        <v>47</v>
      </c>
      <c r="D20" s="2" t="s">
        <v>12</v>
      </c>
      <c r="E20" s="2">
        <v>93</v>
      </c>
      <c r="F20" t="s">
        <v>8</v>
      </c>
      <c r="G20" t="s">
        <v>13</v>
      </c>
      <c r="H20">
        <v>2</v>
      </c>
      <c r="I20">
        <v>2.0099999999999998</v>
      </c>
      <c r="J20">
        <v>11</v>
      </c>
      <c r="K20">
        <v>6</v>
      </c>
      <c r="L20">
        <v>54.55</v>
      </c>
      <c r="M20">
        <v>450</v>
      </c>
      <c r="N20">
        <v>343</v>
      </c>
      <c r="O20">
        <v>76.22</v>
      </c>
      <c r="P20">
        <v>52.69</v>
      </c>
      <c r="Q20">
        <v>142</v>
      </c>
      <c r="R20">
        <v>22</v>
      </c>
      <c r="S20">
        <v>48</v>
      </c>
      <c r="T20">
        <v>72</v>
      </c>
      <c r="U20">
        <v>88</v>
      </c>
      <c r="V20">
        <v>36</v>
      </c>
      <c r="W20">
        <v>36</v>
      </c>
      <c r="X20">
        <v>16</v>
      </c>
      <c r="Y20">
        <v>200</v>
      </c>
      <c r="Z20">
        <v>89</v>
      </c>
      <c r="AA20">
        <v>44.5</v>
      </c>
    </row>
    <row r="21" spans="1:27" x14ac:dyDescent="0.15">
      <c r="A21" s="3"/>
      <c r="B21" s="2" t="s">
        <v>34</v>
      </c>
      <c r="C21" s="2" t="s">
        <v>47</v>
      </c>
      <c r="D21" s="2" t="s">
        <v>12</v>
      </c>
      <c r="E21" s="2">
        <v>93</v>
      </c>
      <c r="F21" t="s">
        <v>48</v>
      </c>
      <c r="G21" t="s">
        <v>31</v>
      </c>
      <c r="H21">
        <v>0</v>
      </c>
      <c r="I21">
        <v>0.98</v>
      </c>
      <c r="J21">
        <v>6</v>
      </c>
      <c r="K21">
        <v>0</v>
      </c>
      <c r="L21">
        <v>0</v>
      </c>
      <c r="M21">
        <v>320</v>
      </c>
      <c r="N21">
        <v>217</v>
      </c>
      <c r="O21">
        <v>67.81</v>
      </c>
      <c r="P21">
        <v>47.31</v>
      </c>
      <c r="Q21">
        <v>150</v>
      </c>
      <c r="R21">
        <v>31</v>
      </c>
      <c r="S21">
        <v>56</v>
      </c>
      <c r="T21">
        <v>63</v>
      </c>
      <c r="U21">
        <v>88</v>
      </c>
      <c r="V21">
        <v>52</v>
      </c>
      <c r="W21">
        <v>28</v>
      </c>
      <c r="X21">
        <v>8</v>
      </c>
      <c r="Y21">
        <v>200</v>
      </c>
      <c r="Z21">
        <v>101</v>
      </c>
      <c r="AA21">
        <v>50.5</v>
      </c>
    </row>
    <row r="22" spans="1:27" x14ac:dyDescent="0.15">
      <c r="A22" s="3" t="s">
        <v>149</v>
      </c>
      <c r="B22" s="2" t="s">
        <v>39</v>
      </c>
      <c r="C22" s="2" t="s">
        <v>140</v>
      </c>
      <c r="D22" s="2" t="s">
        <v>12</v>
      </c>
      <c r="E22" s="2">
        <v>92</v>
      </c>
      <c r="F22" t="s">
        <v>8</v>
      </c>
      <c r="G22" t="s">
        <v>13</v>
      </c>
      <c r="H22">
        <v>1</v>
      </c>
      <c r="I22">
        <v>1.9</v>
      </c>
      <c r="J22">
        <v>8</v>
      </c>
      <c r="K22">
        <v>6</v>
      </c>
      <c r="L22">
        <v>75</v>
      </c>
      <c r="M22">
        <v>408</v>
      </c>
      <c r="N22">
        <v>325</v>
      </c>
      <c r="O22">
        <v>79.66</v>
      </c>
      <c r="P22">
        <v>43.04</v>
      </c>
      <c r="Q22">
        <v>116</v>
      </c>
      <c r="R22">
        <v>16</v>
      </c>
      <c r="S22">
        <v>42</v>
      </c>
      <c r="T22">
        <v>58</v>
      </c>
      <c r="U22">
        <v>70</v>
      </c>
      <c r="V22">
        <v>34</v>
      </c>
      <c r="W22">
        <v>24</v>
      </c>
      <c r="X22">
        <v>12</v>
      </c>
      <c r="Y22">
        <v>157</v>
      </c>
      <c r="Z22">
        <v>76</v>
      </c>
      <c r="AA22">
        <v>48.41</v>
      </c>
    </row>
    <row r="23" spans="1:27" x14ac:dyDescent="0.15">
      <c r="A23" s="3"/>
      <c r="B23" s="2" t="s">
        <v>39</v>
      </c>
      <c r="C23" s="2" t="s">
        <v>140</v>
      </c>
      <c r="D23" s="2" t="s">
        <v>12</v>
      </c>
      <c r="E23" s="2">
        <v>92</v>
      </c>
      <c r="F23" t="s">
        <v>41</v>
      </c>
      <c r="G23" t="s">
        <v>20</v>
      </c>
      <c r="H23">
        <v>4</v>
      </c>
      <c r="I23">
        <v>2.38</v>
      </c>
      <c r="J23">
        <v>18</v>
      </c>
      <c r="K23">
        <v>11</v>
      </c>
      <c r="L23">
        <v>61.11</v>
      </c>
      <c r="M23">
        <v>475</v>
      </c>
      <c r="N23">
        <v>400</v>
      </c>
      <c r="O23">
        <v>84.21</v>
      </c>
      <c r="P23">
        <v>56.96</v>
      </c>
      <c r="Q23">
        <v>100</v>
      </c>
      <c r="R23">
        <v>22</v>
      </c>
      <c r="S23">
        <v>37</v>
      </c>
      <c r="T23">
        <v>41</v>
      </c>
      <c r="U23">
        <v>88</v>
      </c>
      <c r="V23">
        <v>41</v>
      </c>
      <c r="W23">
        <v>36</v>
      </c>
      <c r="X23">
        <v>11</v>
      </c>
      <c r="Y23">
        <v>157</v>
      </c>
      <c r="Z23">
        <v>72</v>
      </c>
      <c r="AA23">
        <v>45.86</v>
      </c>
    </row>
    <row r="24" spans="1:27" x14ac:dyDescent="0.15">
      <c r="A24" s="3" t="s">
        <v>150</v>
      </c>
      <c r="B24" s="2" t="s">
        <v>43</v>
      </c>
      <c r="C24" s="2" t="s">
        <v>142</v>
      </c>
      <c r="D24" s="2" t="s">
        <v>12</v>
      </c>
      <c r="E24" s="2">
        <v>96</v>
      </c>
      <c r="F24" t="s">
        <v>8</v>
      </c>
      <c r="G24" t="s">
        <v>143</v>
      </c>
      <c r="H24">
        <v>3</v>
      </c>
      <c r="I24">
        <v>2.2400000000000002</v>
      </c>
      <c r="J24">
        <v>12</v>
      </c>
      <c r="K24">
        <v>5</v>
      </c>
      <c r="L24">
        <v>41.67</v>
      </c>
      <c r="M24">
        <v>360</v>
      </c>
      <c r="N24">
        <v>276</v>
      </c>
      <c r="O24">
        <v>76.67</v>
      </c>
      <c r="P24">
        <v>49.13</v>
      </c>
      <c r="Q24">
        <v>130</v>
      </c>
      <c r="R24">
        <v>20</v>
      </c>
      <c r="S24">
        <v>54</v>
      </c>
      <c r="T24">
        <v>56</v>
      </c>
      <c r="U24">
        <v>88</v>
      </c>
      <c r="V24">
        <v>37</v>
      </c>
      <c r="W24">
        <v>37</v>
      </c>
      <c r="X24">
        <v>14</v>
      </c>
      <c r="Y24">
        <v>260</v>
      </c>
      <c r="Z24">
        <v>126</v>
      </c>
      <c r="AA24">
        <v>48.46</v>
      </c>
    </row>
    <row r="25" spans="1:27" x14ac:dyDescent="0.15">
      <c r="A25" s="3"/>
      <c r="B25" s="2" t="s">
        <v>43</v>
      </c>
      <c r="C25" s="2" t="s">
        <v>142</v>
      </c>
      <c r="D25" s="2" t="s">
        <v>12</v>
      </c>
      <c r="E25" s="2">
        <v>96</v>
      </c>
      <c r="F25" t="s">
        <v>144</v>
      </c>
      <c r="G25" t="s">
        <v>145</v>
      </c>
      <c r="H25">
        <v>1</v>
      </c>
      <c r="I25">
        <v>1.94</v>
      </c>
      <c r="J25">
        <v>14</v>
      </c>
      <c r="K25">
        <v>5</v>
      </c>
      <c r="L25">
        <v>35.71</v>
      </c>
      <c r="M25">
        <v>339</v>
      </c>
      <c r="N25">
        <v>280</v>
      </c>
      <c r="O25">
        <v>82.6</v>
      </c>
      <c r="P25">
        <v>50.87</v>
      </c>
      <c r="Q25">
        <v>119</v>
      </c>
      <c r="R25">
        <v>25</v>
      </c>
      <c r="S25">
        <v>51</v>
      </c>
      <c r="T25">
        <v>43</v>
      </c>
      <c r="U25">
        <v>89</v>
      </c>
      <c r="V25">
        <v>43</v>
      </c>
      <c r="W25">
        <v>36</v>
      </c>
      <c r="X25">
        <v>10</v>
      </c>
      <c r="Y25">
        <v>260</v>
      </c>
      <c r="Z25">
        <v>120</v>
      </c>
      <c r="AA25">
        <v>46.15</v>
      </c>
    </row>
    <row r="26" spans="1:27" x14ac:dyDescent="0.15">
      <c r="A26" s="3" t="s">
        <v>151</v>
      </c>
      <c r="B26" s="2" t="s">
        <v>46</v>
      </c>
      <c r="C26" s="2" t="s">
        <v>147</v>
      </c>
      <c r="D26" s="2" t="s">
        <v>12</v>
      </c>
      <c r="E26" s="2">
        <v>100</v>
      </c>
      <c r="F26" t="s">
        <v>8</v>
      </c>
      <c r="G26" t="s">
        <v>28</v>
      </c>
      <c r="H26">
        <v>0</v>
      </c>
      <c r="I26">
        <v>0.37</v>
      </c>
      <c r="J26">
        <v>4</v>
      </c>
      <c r="K26">
        <v>0</v>
      </c>
      <c r="L26">
        <v>0</v>
      </c>
      <c r="M26">
        <v>281</v>
      </c>
      <c r="N26">
        <v>201</v>
      </c>
      <c r="O26">
        <v>71.53</v>
      </c>
      <c r="P26">
        <v>45.95</v>
      </c>
      <c r="Q26">
        <v>141</v>
      </c>
      <c r="R26">
        <v>16</v>
      </c>
      <c r="S26">
        <v>57</v>
      </c>
      <c r="T26">
        <v>68</v>
      </c>
      <c r="U26">
        <v>103</v>
      </c>
      <c r="V26">
        <v>42</v>
      </c>
      <c r="W26">
        <v>53</v>
      </c>
      <c r="X26">
        <v>8</v>
      </c>
      <c r="Y26">
        <v>219</v>
      </c>
      <c r="Z26">
        <v>107</v>
      </c>
      <c r="AA26">
        <v>48.86</v>
      </c>
    </row>
    <row r="27" spans="1:27" x14ac:dyDescent="0.15">
      <c r="A27" s="3"/>
      <c r="B27" s="2" t="s">
        <v>46</v>
      </c>
      <c r="C27" s="2" t="s">
        <v>147</v>
      </c>
      <c r="D27" s="2" t="s">
        <v>12</v>
      </c>
      <c r="E27" s="2">
        <v>100</v>
      </c>
      <c r="F27" t="s">
        <v>148</v>
      </c>
      <c r="G27" t="s">
        <v>36</v>
      </c>
      <c r="H27">
        <v>0</v>
      </c>
      <c r="I27">
        <v>0.88</v>
      </c>
      <c r="J27">
        <v>7</v>
      </c>
      <c r="K27">
        <v>1</v>
      </c>
      <c r="L27">
        <v>14.29</v>
      </c>
      <c r="M27">
        <v>434</v>
      </c>
      <c r="N27">
        <v>348</v>
      </c>
      <c r="O27">
        <v>80.180000000000007</v>
      </c>
      <c r="P27">
        <v>54.05</v>
      </c>
      <c r="Q27">
        <v>136</v>
      </c>
      <c r="R27">
        <v>17</v>
      </c>
      <c r="S27">
        <v>57</v>
      </c>
      <c r="T27">
        <v>62</v>
      </c>
      <c r="U27">
        <v>105</v>
      </c>
      <c r="V27">
        <v>49</v>
      </c>
      <c r="W27">
        <v>45</v>
      </c>
      <c r="X27">
        <v>11</v>
      </c>
      <c r="Y27">
        <v>219</v>
      </c>
      <c r="Z27">
        <v>94</v>
      </c>
      <c r="AA27">
        <v>42.92</v>
      </c>
    </row>
  </sheetData>
  <mergeCells count="60">
    <mergeCell ref="A24:A25"/>
    <mergeCell ref="C24:C25"/>
    <mergeCell ref="D24:D25"/>
    <mergeCell ref="E24:E25"/>
    <mergeCell ref="A26:A27"/>
    <mergeCell ref="C26:C27"/>
    <mergeCell ref="D26:D27"/>
    <mergeCell ref="E26:E27"/>
    <mergeCell ref="B24:B25"/>
    <mergeCell ref="B26:B27"/>
    <mergeCell ref="A20:A21"/>
    <mergeCell ref="C20:C21"/>
    <mergeCell ref="D20:D21"/>
    <mergeCell ref="E20:E21"/>
    <mergeCell ref="A22:A23"/>
    <mergeCell ref="C22:C23"/>
    <mergeCell ref="D22:D23"/>
    <mergeCell ref="E22:E23"/>
    <mergeCell ref="B20:B21"/>
    <mergeCell ref="B22:B23"/>
    <mergeCell ref="A16:A17"/>
    <mergeCell ref="C16:C17"/>
    <mergeCell ref="D16:D17"/>
    <mergeCell ref="E16:E17"/>
    <mergeCell ref="A18:A19"/>
    <mergeCell ref="C18:C19"/>
    <mergeCell ref="D18:D19"/>
    <mergeCell ref="E18:E19"/>
    <mergeCell ref="B16:B17"/>
    <mergeCell ref="B18:B19"/>
    <mergeCell ref="A12:A13"/>
    <mergeCell ref="C12:C13"/>
    <mergeCell ref="D12:D13"/>
    <mergeCell ref="E12:E13"/>
    <mergeCell ref="A14:A15"/>
    <mergeCell ref="C14:C15"/>
    <mergeCell ref="D14:D15"/>
    <mergeCell ref="E14:E15"/>
    <mergeCell ref="B12:B13"/>
    <mergeCell ref="B14:B15"/>
    <mergeCell ref="A8:A9"/>
    <mergeCell ref="C8:C9"/>
    <mergeCell ref="D8:D9"/>
    <mergeCell ref="E8:E9"/>
    <mergeCell ref="A10:A11"/>
    <mergeCell ref="C10:C11"/>
    <mergeCell ref="D10:D11"/>
    <mergeCell ref="E10:E11"/>
    <mergeCell ref="B8:B9"/>
    <mergeCell ref="B10:B11"/>
    <mergeCell ref="A4:A5"/>
    <mergeCell ref="C4:C5"/>
    <mergeCell ref="D4:D5"/>
    <mergeCell ref="E4:E5"/>
    <mergeCell ref="A6:A7"/>
    <mergeCell ref="C6:C7"/>
    <mergeCell ref="D6:D7"/>
    <mergeCell ref="E6:E7"/>
    <mergeCell ref="B4:B5"/>
    <mergeCell ref="B6: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7"/>
  <sheetViews>
    <sheetView showOutlineSymbols="0" showWhiteSpace="0" zoomScale="106" workbookViewId="0">
      <selection activeCell="I31" sqref="I31"/>
    </sheetView>
  </sheetViews>
  <sheetFormatPr baseColWidth="10" defaultColWidth="8.83203125" defaultRowHeight="14" x14ac:dyDescent="0.15"/>
  <cols>
    <col min="1" max="1" width="10.83203125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69</v>
      </c>
      <c r="J1" t="s">
        <v>70</v>
      </c>
      <c r="K1" t="s">
        <v>71</v>
      </c>
      <c r="L1" t="s">
        <v>72</v>
      </c>
      <c r="M1" t="s">
        <v>73</v>
      </c>
      <c r="N1" t="s">
        <v>74</v>
      </c>
      <c r="O1" t="s">
        <v>75</v>
      </c>
      <c r="P1" t="s">
        <v>76</v>
      </c>
      <c r="Q1" t="s">
        <v>77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7</v>
      </c>
    </row>
    <row r="2" spans="1:33" x14ac:dyDescent="0.15">
      <c r="A2" s="1" t="s">
        <v>8</v>
      </c>
      <c r="B2" s="1"/>
      <c r="C2" s="1"/>
      <c r="D2" s="1"/>
      <c r="E2" s="1"/>
      <c r="F2" s="1"/>
      <c r="G2" s="1"/>
      <c r="H2" s="1">
        <f t="shared" ref="H2:J3" si="0">AVERAGE(H4,H6,H8,H10,H12,H14,H16,H18,H20,H22,H24,H26)</f>
        <v>1.3758333333333335</v>
      </c>
      <c r="I2" s="1">
        <f t="shared" si="0"/>
        <v>9.25</v>
      </c>
      <c r="J2" s="1">
        <f t="shared" si="0"/>
        <v>4.166666666666667</v>
      </c>
      <c r="K2" s="1">
        <f>IFERROR(SUM(J4,J6,J8,J10,J12,J14,J16,J18,J20,J22,J24,J26)/SUM(I4,I6,I8,I10,I12,I14,I16,I18,I20,I22,I24,I26)*100,0)</f>
        <v>45.045045045045043</v>
      </c>
      <c r="L2" s="1">
        <f>AVERAGE(L4,L6,L8,L10,L12,L14,L16,L18,L20,L22,L24,L26)</f>
        <v>28.75</v>
      </c>
      <c r="M2" s="1">
        <f>AVERAGE(M4,M6,M8,M10,M12,M14,M16,M18,M20,M22,M24,M26)</f>
        <v>5.833333333333333</v>
      </c>
      <c r="N2" s="1">
        <f>IFERROR(SUM(M4,M6,M8,M10,M12,M14,M16,M18,M20,M22,M24,M26)/SUM(L4,L6,L8,L10,L12,L14,L16,L18,L20,L22,L24,L26)*100,0)</f>
        <v>20.289855072463769</v>
      </c>
      <c r="O2" s="1">
        <f>AVERAGE(O4,O6,O8,O10,O12,O14,O16,O18,O20,O22,O24,O26)</f>
        <v>0.66666666666666663</v>
      </c>
      <c r="P2" s="1">
        <f>AVERAGE(P4,P6,P8,P10,P12,P14,P16,P18,P20,P22,P24,P26)</f>
        <v>0.33333333333333331</v>
      </c>
      <c r="Q2" s="1">
        <f>IFERROR(SUM(P4,P6,P8,P10,P12,P14,P16,P18,P20,P22,P24,P26)/SUM(O4,O6,O8,O10,O12,O14,O16,O18,O20,O22,O24,O26)*100,0)</f>
        <v>50</v>
      </c>
      <c r="R2" s="1">
        <f>AVERAGE(R4,R6,R8,R10,R12,R14,R16,R18,R20,R22,R24,R26)</f>
        <v>3.1666666666666665</v>
      </c>
      <c r="S2" s="1">
        <f>AVERAGE(S4,S6,S8,S10,S12,S14,S16,S18,S20,S22,S24,S26)</f>
        <v>1.0833333333333333</v>
      </c>
      <c r="T2" s="1">
        <f>IFERROR(SUM(S4,S6,S8,S10,S12,S14,S16,S18,S20,S22,S24,S26)/SUM(R4,R6,R8,R10,R12,R14,R16,R18,R20,R22,R24,R26)*100,0)</f>
        <v>34.210526315789473</v>
      </c>
      <c r="U2" s="1">
        <f>AVERAGE(U4,U6,U8,U10,U12,U14,U16,U18,U20,U22,U24,U26)</f>
        <v>3.0833333333333335</v>
      </c>
      <c r="V2" s="1">
        <f>AVERAGE(V4,V6,V8,V10,V12,V14,V16,V18,V20,V22,V24,V26)</f>
        <v>0.91666666666666663</v>
      </c>
      <c r="W2" s="1">
        <f>IFERROR(SUM(V4,V6,V8,V10,V12,V14,V16,V18,V20,V22,V24,V26)/SUM(U4,U6,U8,U10,U12,U14,U16,U18,U20,U22,U24,U26)*100,0)</f>
        <v>29.72972972972973</v>
      </c>
      <c r="X2" s="1">
        <f>AVERAGE(X4,X6,X8,X10,X12,X14,X16,X18,X20,X22,X24,X26)</f>
        <v>8.3333333333333329E-2</v>
      </c>
      <c r="Y2" s="1">
        <f>AVERAGE(Y4,Y6,Y8,Y10,Y12,Y14,Y16,Y18,Y20,Y22,Y24,Y26)</f>
        <v>0</v>
      </c>
      <c r="Z2" s="1">
        <f>IFERROR(SUM(Y4,Y6,Y8,Y10,Y12,Y14,Y16,Y18,Y20,Y22,Y24,Y26)/SUM(X4,X6,X8,X10,X12,X14,X16,X18,X20,X22,X24,X26)*100,0)</f>
        <v>0</v>
      </c>
      <c r="AA2" s="1">
        <f>AVERAGE(AA4,AA6,AA8,AA10,AA12,AA14,AA16,AA18,AA20,AA22,AA24,AA26)</f>
        <v>14.416666666666666</v>
      </c>
      <c r="AB2" s="1">
        <f>AVERAGE(AB4,AB6,AB8,AB10,AB12,AB14,AB16,AB18,AB20,AB22,AB24,AB26)</f>
        <v>3.5833333333333335</v>
      </c>
      <c r="AC2" s="1">
        <f>IFERROR(SUM(AB4,AB6,AB8,AB10,AB12,AB14,AB16,AB18,AB20,AB22,AB24,AB26)/SUM(AA4,AA6,AA8,AA10,AA12,AA14,AA16,AA18,AA20,AA22,AA24,AA26)*100,0)</f>
        <v>24.855491329479769</v>
      </c>
      <c r="AD2" s="1">
        <f>AVERAGE(AD4,AD6,AD8,AD10,AD12,AD14,AD16,AD18,AD20,AD22,AD24,AD26)</f>
        <v>66.166666666666671</v>
      </c>
      <c r="AE2" s="1">
        <f>AVERAGE(AE4,AE6,AE8,AE10,AE12,AE14,AE16,AE18,AE20,AE22,AE24,AE26)</f>
        <v>22.75</v>
      </c>
      <c r="AF2" s="1">
        <f>IFERROR(SUM(AE4,AE6,AE8,AE10,AE12,AE14,AE16,AE18,AE20,AE22,AE24,AE26)/SUM(AD4,AD6,AD8,AD10,AD12,AD14,AD16,AD18,AD20,AD22,AD24,AD26)*100,0)</f>
        <v>34.382871536523929</v>
      </c>
      <c r="AG2" s="1">
        <f>AVERAGE(AG4,AG6,AG8,AG10,AG12,AG14,AG16,AG18,AG20,AG22,AG24,AG26)</f>
        <v>1.9166666666666667</v>
      </c>
    </row>
    <row r="3" spans="1:33" x14ac:dyDescent="0.15">
      <c r="A3" s="1" t="s">
        <v>9</v>
      </c>
      <c r="B3" s="1"/>
      <c r="C3" s="1"/>
      <c r="D3" s="1"/>
      <c r="E3" s="1"/>
      <c r="F3" s="1"/>
      <c r="G3" s="1"/>
      <c r="H3" s="1">
        <f t="shared" si="0"/>
        <v>1.4500000000000002</v>
      </c>
      <c r="I3" s="1">
        <f t="shared" si="0"/>
        <v>10.833333333333334</v>
      </c>
      <c r="J3" s="1">
        <f t="shared" si="0"/>
        <v>3.9166666666666665</v>
      </c>
      <c r="K3" s="1">
        <f>IFERROR(SUM(J5,J7,J9,J11,J13,J15,J17,J19,J21,J23,J25,J27)/SUM(I5,I7,I9,I11,I13,I15,I17,I19,I21,I23,I25,I27)*100,0)</f>
        <v>36.153846153846153</v>
      </c>
      <c r="L3" s="1">
        <f>AVERAGE(L5,L7,L9,L11,L13,L15,L17,L19,L21,L23,L25,L27)</f>
        <v>28.583333333333332</v>
      </c>
      <c r="M3" s="1">
        <f>AVERAGE(M5,M7,M9,M11,M13,M15,M17,M19,M21,M23,M25,M27)</f>
        <v>7.083333333333333</v>
      </c>
      <c r="N3" s="1">
        <f>IFERROR(SUM(M5,M7,M9,M11,M13,M15,M17,M19,M21,M23,M25,M27)/SUM(L5,L7,L9,L11,L13,L15,L17,L19,L21,L23,L25,L27)*100,0)</f>
        <v>24.781341107871722</v>
      </c>
      <c r="O3" s="1">
        <f>AVERAGE(O5,O7,O9,O11,O13,O15,O17,O19,O21,O23,O25,O27)</f>
        <v>1.1666666666666667</v>
      </c>
      <c r="P3" s="1">
        <f>AVERAGE(P5,P7,P9,P11,P13,P15,P17,P19,P21,P23,P25,P27)</f>
        <v>0.58333333333333337</v>
      </c>
      <c r="Q3" s="1">
        <f>IFERROR(SUM(P5,P7,P9,P11,P13,P15,P17,P19,P21,P23,P25,P27)/SUM(O5,O7,O9,O11,O13,O15,O17,O19,O21,O23,O25,O27)*100,0)</f>
        <v>50</v>
      </c>
      <c r="R3" s="1">
        <f>AVERAGE(R5,R7,R9,R11,R13,R15,R17,R19,R21,R23,R25,R27)</f>
        <v>3.9166666666666665</v>
      </c>
      <c r="S3" s="1">
        <f>AVERAGE(S5,S7,S9,S11,S13,S15,S17,S19,S21,S23,S25,S27)</f>
        <v>0.91666666666666663</v>
      </c>
      <c r="T3" s="1">
        <f>IFERROR(SUM(S5,S7,S9,S11,S13,S15,S17,S19,S21,S23,S25,S27)/SUM(R5,R7,R9,R11,R13,R15,R17,R19,R21,R23,R25,R27)*100,0)</f>
        <v>23.404255319148938</v>
      </c>
      <c r="U3" s="1">
        <f>AVERAGE(U5,U7,U9,U11,U13,U15,U17,U19,U21,U23,U25,U27)</f>
        <v>2.25</v>
      </c>
      <c r="V3" s="1">
        <f>AVERAGE(V5,V7,V9,V11,V13,V15,V17,V19,V21,V23,V25,V27)</f>
        <v>0.75</v>
      </c>
      <c r="W3" s="1">
        <f>IFERROR(SUM(V5,V7,V9,V11,V13,V15,V17,V19,V21,V23,V25,V27)/SUM(U5,U7,U9,U11,U13,U15,U17,U19,U21,U23,U25,U27)*100,0)</f>
        <v>33.333333333333329</v>
      </c>
      <c r="X3" s="1">
        <f>AVERAGE(X5,X7,X9,X11,X13,X15,X17,X19,X21,X23,X25,X27)</f>
        <v>0.25</v>
      </c>
      <c r="Y3" s="1">
        <f>AVERAGE(Y5,Y7,Y9,Y11,Y13,Y15,Y17,Y19,Y21,Y23,Y25,Y27)</f>
        <v>8.3333333333333329E-2</v>
      </c>
      <c r="Z3" s="1">
        <f>IFERROR(SUM(Y5,Y7,Y9,Y11,Y13,Y15,Y17,Y19,Y21,Y23,Y25,Y27)/SUM(X5,X7,X9,X11,X13,X15,X17,X19,X21,X23,X25,X27)*100,0)</f>
        <v>33.333333333333329</v>
      </c>
      <c r="AA3" s="1">
        <f>AVERAGE(AA5,AA7,AA9,AA11,AA13,AA15,AA17,AA19,AA21,AA23,AA25,AA27)</f>
        <v>13.5</v>
      </c>
      <c r="AB3" s="1">
        <f>AVERAGE(AB5,AB7,AB9,AB11,AB13,AB15,AB17,AB19,AB21,AB23,AB25,AB27)</f>
        <v>3.5</v>
      </c>
      <c r="AC3" s="1">
        <f>IFERROR(SUM(AB5,AB7,AB9,AB11,AB13,AB15,AB17,AB19,AB21,AB23,AB25,AB27)/SUM(AA5,AA7,AA9,AA11,AA13,AA15,AA17,AA19,AA21,AA23,AA25,AA27)*100,0)</f>
        <v>25.925925925925924</v>
      </c>
      <c r="AD3" s="1">
        <f>AVERAGE(AD5,AD7,AD9,AD11,AD13,AD15,AD17,AD19,AD21,AD23,AD25,AD27)</f>
        <v>71.833333333333329</v>
      </c>
      <c r="AE3" s="1">
        <f>AVERAGE(AE5,AE7,AE9,AE11,AE13,AE15,AE17,AE19,AE21,AE23,AE25,AE27)</f>
        <v>23.333333333333332</v>
      </c>
      <c r="AF3" s="1">
        <f>IFERROR(SUM(AE5,AE7,AE9,AE11,AE13,AE15,AE17,AE19,AE21,AE23,AE25,AE27)/SUM(AD5,AD7,AD9,AD11,AD13,AD15,AD17,AD19,AD21,AD23,AD25,AD27)*100,0)</f>
        <v>32.482598607888633</v>
      </c>
      <c r="AG3" s="1">
        <f>AVERAGE(AG5,AG7,AG9,AG11,AG13,AG15,AG17,AG19,AG21,AG23,AG25,AG27)</f>
        <v>4.5</v>
      </c>
    </row>
    <row r="4" spans="1:33" ht="12" customHeight="1" x14ac:dyDescent="0.15">
      <c r="A4" s="3" t="s">
        <v>152</v>
      </c>
      <c r="B4" s="2" t="s">
        <v>139</v>
      </c>
      <c r="C4" s="2" t="s">
        <v>11</v>
      </c>
      <c r="D4" s="2" t="s">
        <v>12</v>
      </c>
      <c r="E4" s="2">
        <v>94</v>
      </c>
      <c r="F4" t="s">
        <v>8</v>
      </c>
      <c r="G4" t="s">
        <v>13</v>
      </c>
      <c r="H4">
        <v>0.75</v>
      </c>
      <c r="I4">
        <v>6</v>
      </c>
      <c r="J4">
        <v>2</v>
      </c>
      <c r="K4">
        <v>33.33</v>
      </c>
      <c r="L4">
        <v>26</v>
      </c>
      <c r="M4">
        <v>3</v>
      </c>
      <c r="N4">
        <v>11.54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4</v>
      </c>
      <c r="V4">
        <v>2</v>
      </c>
      <c r="W4">
        <v>50</v>
      </c>
      <c r="X4">
        <v>0</v>
      </c>
      <c r="Y4">
        <v>0</v>
      </c>
      <c r="Z4">
        <v>0</v>
      </c>
      <c r="AA4">
        <v>20</v>
      </c>
      <c r="AB4">
        <v>7</v>
      </c>
      <c r="AC4">
        <v>35</v>
      </c>
      <c r="AD4">
        <v>79</v>
      </c>
      <c r="AE4">
        <v>30</v>
      </c>
      <c r="AF4">
        <v>37.97</v>
      </c>
      <c r="AG4">
        <v>2</v>
      </c>
    </row>
    <row r="5" spans="1:33" ht="12" customHeight="1" x14ac:dyDescent="0.15">
      <c r="A5" s="3"/>
      <c r="B5" s="2" t="s">
        <v>139</v>
      </c>
      <c r="C5" s="2" t="s">
        <v>11</v>
      </c>
      <c r="D5" s="2" t="s">
        <v>12</v>
      </c>
      <c r="E5" s="2">
        <v>94</v>
      </c>
      <c r="F5" t="s">
        <v>14</v>
      </c>
      <c r="G5" t="s">
        <v>15</v>
      </c>
      <c r="H5">
        <v>0.33</v>
      </c>
      <c r="I5">
        <v>8</v>
      </c>
      <c r="J5">
        <v>1</v>
      </c>
      <c r="K5">
        <v>12.5</v>
      </c>
      <c r="L5">
        <v>28</v>
      </c>
      <c r="M5">
        <v>5</v>
      </c>
      <c r="N5">
        <v>17.86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3</v>
      </c>
      <c r="AC5">
        <v>21.43</v>
      </c>
      <c r="AD5">
        <v>46</v>
      </c>
      <c r="AE5">
        <v>12</v>
      </c>
      <c r="AF5">
        <v>26.09</v>
      </c>
      <c r="AG5">
        <v>6</v>
      </c>
    </row>
    <row r="6" spans="1:33" ht="12" customHeight="1" x14ac:dyDescent="0.15">
      <c r="A6" s="3" t="s">
        <v>153</v>
      </c>
      <c r="B6" s="2" t="s">
        <v>141</v>
      </c>
      <c r="C6" s="2" t="s">
        <v>17</v>
      </c>
      <c r="D6" s="2" t="s">
        <v>12</v>
      </c>
      <c r="E6" s="2">
        <v>96</v>
      </c>
      <c r="F6" t="s">
        <v>8</v>
      </c>
      <c r="G6" t="s">
        <v>18</v>
      </c>
      <c r="H6">
        <v>2.0699999999999998</v>
      </c>
      <c r="I6">
        <v>8</v>
      </c>
      <c r="J6">
        <v>4</v>
      </c>
      <c r="K6">
        <v>50</v>
      </c>
      <c r="L6">
        <v>20</v>
      </c>
      <c r="M6">
        <v>6</v>
      </c>
      <c r="N6">
        <v>30</v>
      </c>
      <c r="O6">
        <v>0</v>
      </c>
      <c r="P6">
        <v>0</v>
      </c>
      <c r="Q6">
        <v>0</v>
      </c>
      <c r="R6">
        <v>2</v>
      </c>
      <c r="S6">
        <v>1</v>
      </c>
      <c r="T6">
        <v>50</v>
      </c>
      <c r="U6">
        <v>2</v>
      </c>
      <c r="V6">
        <v>1</v>
      </c>
      <c r="W6">
        <v>50</v>
      </c>
      <c r="X6">
        <v>0</v>
      </c>
      <c r="Y6">
        <v>0</v>
      </c>
      <c r="Z6">
        <v>0</v>
      </c>
      <c r="AA6">
        <v>5</v>
      </c>
      <c r="AB6">
        <v>1</v>
      </c>
      <c r="AC6">
        <v>20</v>
      </c>
      <c r="AD6">
        <v>67</v>
      </c>
      <c r="AE6">
        <v>22</v>
      </c>
      <c r="AF6">
        <v>32.840000000000003</v>
      </c>
      <c r="AG6">
        <v>1</v>
      </c>
    </row>
    <row r="7" spans="1:33" ht="12" customHeight="1" x14ac:dyDescent="0.15">
      <c r="A7" s="3"/>
      <c r="B7" s="2" t="s">
        <v>141</v>
      </c>
      <c r="C7" s="2" t="s">
        <v>17</v>
      </c>
      <c r="D7" s="2" t="s">
        <v>12</v>
      </c>
      <c r="E7" s="2">
        <v>96</v>
      </c>
      <c r="F7" t="s">
        <v>19</v>
      </c>
      <c r="G7" t="s">
        <v>20</v>
      </c>
      <c r="H7">
        <v>2.12</v>
      </c>
      <c r="I7">
        <v>12</v>
      </c>
      <c r="J7">
        <v>4</v>
      </c>
      <c r="K7">
        <v>33.33</v>
      </c>
      <c r="L7">
        <v>38</v>
      </c>
      <c r="M7">
        <v>7</v>
      </c>
      <c r="N7">
        <v>18.420000000000002</v>
      </c>
      <c r="O7">
        <v>1</v>
      </c>
      <c r="P7">
        <v>1</v>
      </c>
      <c r="Q7">
        <v>100</v>
      </c>
      <c r="R7">
        <v>7</v>
      </c>
      <c r="S7">
        <v>3</v>
      </c>
      <c r="T7">
        <v>42.86</v>
      </c>
      <c r="U7">
        <v>1</v>
      </c>
      <c r="V7">
        <v>0</v>
      </c>
      <c r="W7">
        <v>0</v>
      </c>
      <c r="X7">
        <v>1</v>
      </c>
      <c r="Y7">
        <v>1</v>
      </c>
      <c r="Z7">
        <v>100</v>
      </c>
      <c r="AA7">
        <v>21</v>
      </c>
      <c r="AB7">
        <v>8</v>
      </c>
      <c r="AC7">
        <v>38.1</v>
      </c>
      <c r="AD7">
        <v>66</v>
      </c>
      <c r="AE7">
        <v>16</v>
      </c>
      <c r="AF7">
        <v>24.24</v>
      </c>
      <c r="AG7">
        <v>2</v>
      </c>
    </row>
    <row r="8" spans="1:33" ht="12" customHeight="1" x14ac:dyDescent="0.15">
      <c r="A8" s="3" t="s">
        <v>154</v>
      </c>
      <c r="B8" s="2" t="s">
        <v>146</v>
      </c>
      <c r="C8" t="s">
        <v>22</v>
      </c>
      <c r="D8" s="2" t="s">
        <v>12</v>
      </c>
      <c r="E8" s="2">
        <v>100</v>
      </c>
      <c r="F8" t="s">
        <v>8</v>
      </c>
      <c r="G8" t="s">
        <v>13</v>
      </c>
      <c r="H8">
        <v>1.52</v>
      </c>
      <c r="I8">
        <v>11</v>
      </c>
      <c r="J8">
        <v>4</v>
      </c>
      <c r="K8">
        <v>36.36</v>
      </c>
      <c r="L8">
        <v>40</v>
      </c>
      <c r="M8">
        <v>8</v>
      </c>
      <c r="N8">
        <v>20</v>
      </c>
      <c r="O8">
        <v>1</v>
      </c>
      <c r="P8">
        <v>1</v>
      </c>
      <c r="Q8">
        <v>100</v>
      </c>
      <c r="R8">
        <v>4</v>
      </c>
      <c r="S8">
        <v>0</v>
      </c>
      <c r="T8">
        <v>0</v>
      </c>
      <c r="U8">
        <v>3</v>
      </c>
      <c r="V8">
        <v>0</v>
      </c>
      <c r="W8">
        <v>0</v>
      </c>
      <c r="X8">
        <v>1</v>
      </c>
      <c r="Y8">
        <v>0</v>
      </c>
      <c r="Z8">
        <v>0</v>
      </c>
      <c r="AA8">
        <v>20</v>
      </c>
      <c r="AB8">
        <v>6</v>
      </c>
      <c r="AC8">
        <v>30</v>
      </c>
      <c r="AD8">
        <v>75</v>
      </c>
      <c r="AE8">
        <v>23</v>
      </c>
      <c r="AF8">
        <v>30.67</v>
      </c>
      <c r="AG8">
        <v>1</v>
      </c>
    </row>
    <row r="9" spans="1:33" ht="12" customHeight="1" x14ac:dyDescent="0.15">
      <c r="A9" s="3"/>
      <c r="B9" s="2" t="s">
        <v>146</v>
      </c>
      <c r="C9" t="s">
        <v>22</v>
      </c>
      <c r="D9" s="2" t="s">
        <v>12</v>
      </c>
      <c r="E9" s="2">
        <v>100</v>
      </c>
      <c r="F9" t="s">
        <v>23</v>
      </c>
      <c r="G9" t="s">
        <v>20</v>
      </c>
      <c r="H9">
        <v>0.91</v>
      </c>
      <c r="I9">
        <v>8</v>
      </c>
      <c r="J9">
        <v>1</v>
      </c>
      <c r="K9">
        <v>12.5</v>
      </c>
      <c r="L9">
        <v>23</v>
      </c>
      <c r="M9">
        <v>4</v>
      </c>
      <c r="N9">
        <v>17.39</v>
      </c>
      <c r="O9">
        <v>2</v>
      </c>
      <c r="P9">
        <v>0</v>
      </c>
      <c r="Q9">
        <v>0</v>
      </c>
      <c r="R9">
        <v>3</v>
      </c>
      <c r="S9">
        <v>0</v>
      </c>
      <c r="T9">
        <v>0</v>
      </c>
      <c r="U9">
        <v>4</v>
      </c>
      <c r="V9">
        <v>1</v>
      </c>
      <c r="W9">
        <v>25</v>
      </c>
      <c r="X9">
        <v>0</v>
      </c>
      <c r="Y9">
        <v>0</v>
      </c>
      <c r="Z9">
        <v>0</v>
      </c>
      <c r="AA9">
        <v>14</v>
      </c>
      <c r="AB9">
        <v>4</v>
      </c>
      <c r="AC9">
        <v>28.57</v>
      </c>
      <c r="AD9">
        <v>84</v>
      </c>
      <c r="AE9">
        <v>22</v>
      </c>
      <c r="AF9">
        <v>26.19</v>
      </c>
      <c r="AG9">
        <v>5</v>
      </c>
    </row>
    <row r="10" spans="1:33" ht="12" customHeight="1" x14ac:dyDescent="0.15">
      <c r="A10" s="3" t="s">
        <v>155</v>
      </c>
      <c r="B10" s="2" t="s">
        <v>10</v>
      </c>
      <c r="C10" s="2" t="s">
        <v>25</v>
      </c>
      <c r="D10" s="2" t="s">
        <v>12</v>
      </c>
      <c r="E10" s="2">
        <v>97</v>
      </c>
      <c r="F10" t="s">
        <v>8</v>
      </c>
      <c r="G10" t="s">
        <v>26</v>
      </c>
      <c r="H10">
        <v>2.21</v>
      </c>
      <c r="I10">
        <v>10</v>
      </c>
      <c r="J10">
        <v>6</v>
      </c>
      <c r="K10">
        <v>60</v>
      </c>
      <c r="L10">
        <v>24</v>
      </c>
      <c r="M10">
        <v>6</v>
      </c>
      <c r="N10">
        <v>25</v>
      </c>
      <c r="O10">
        <v>0</v>
      </c>
      <c r="P10">
        <v>0</v>
      </c>
      <c r="Q10">
        <v>0</v>
      </c>
      <c r="R10">
        <v>3</v>
      </c>
      <c r="S10">
        <v>2</v>
      </c>
      <c r="T10">
        <v>66.67</v>
      </c>
      <c r="U10">
        <v>2</v>
      </c>
      <c r="V10">
        <v>1</v>
      </c>
      <c r="W10">
        <v>50</v>
      </c>
      <c r="X10">
        <v>0</v>
      </c>
      <c r="Y10">
        <v>0</v>
      </c>
      <c r="Z10">
        <v>0</v>
      </c>
      <c r="AA10">
        <v>11</v>
      </c>
      <c r="AB10">
        <v>2</v>
      </c>
      <c r="AC10">
        <v>18.18</v>
      </c>
      <c r="AD10">
        <v>51</v>
      </c>
      <c r="AE10">
        <v>20</v>
      </c>
      <c r="AF10">
        <v>39.22</v>
      </c>
      <c r="AG10">
        <v>2</v>
      </c>
    </row>
    <row r="11" spans="1:33" ht="12" customHeight="1" x14ac:dyDescent="0.15">
      <c r="A11" s="3"/>
      <c r="B11" s="2" t="s">
        <v>10</v>
      </c>
      <c r="C11" s="2" t="s">
        <v>25</v>
      </c>
      <c r="D11" s="2" t="s">
        <v>12</v>
      </c>
      <c r="E11" s="2">
        <v>97</v>
      </c>
      <c r="F11" t="s">
        <v>27</v>
      </c>
      <c r="G11" t="s">
        <v>28</v>
      </c>
      <c r="H11">
        <v>1.82</v>
      </c>
      <c r="I11">
        <v>13</v>
      </c>
      <c r="J11">
        <v>6</v>
      </c>
      <c r="K11">
        <v>46.15</v>
      </c>
      <c r="L11">
        <v>30</v>
      </c>
      <c r="M11">
        <v>10</v>
      </c>
      <c r="N11">
        <v>33.33</v>
      </c>
      <c r="O11">
        <v>0</v>
      </c>
      <c r="P11">
        <v>0</v>
      </c>
      <c r="Q11">
        <v>0</v>
      </c>
      <c r="R11">
        <v>5</v>
      </c>
      <c r="S11">
        <v>1</v>
      </c>
      <c r="T11">
        <v>20</v>
      </c>
      <c r="U11">
        <v>3</v>
      </c>
      <c r="V11">
        <v>0</v>
      </c>
      <c r="W11">
        <v>0</v>
      </c>
      <c r="X11">
        <v>0</v>
      </c>
      <c r="Y11">
        <v>0</v>
      </c>
      <c r="Z11">
        <v>0</v>
      </c>
      <c r="AA11">
        <v>16</v>
      </c>
      <c r="AB11">
        <v>6</v>
      </c>
      <c r="AC11">
        <v>37.5</v>
      </c>
      <c r="AD11">
        <v>92</v>
      </c>
      <c r="AE11">
        <v>35</v>
      </c>
      <c r="AF11">
        <v>38.04</v>
      </c>
      <c r="AG11">
        <v>4</v>
      </c>
    </row>
    <row r="12" spans="1:33" ht="12" customHeight="1" x14ac:dyDescent="0.15">
      <c r="A12" s="3" t="s">
        <v>156</v>
      </c>
      <c r="B12" s="2" t="s">
        <v>16</v>
      </c>
      <c r="C12" t="s">
        <v>30</v>
      </c>
      <c r="D12" s="2" t="s">
        <v>12</v>
      </c>
      <c r="E12" s="2">
        <v>100</v>
      </c>
      <c r="F12" t="s">
        <v>8</v>
      </c>
      <c r="G12" t="s">
        <v>31</v>
      </c>
      <c r="H12">
        <v>1.08</v>
      </c>
      <c r="I12">
        <v>12</v>
      </c>
      <c r="J12">
        <v>4</v>
      </c>
      <c r="K12">
        <v>33.33</v>
      </c>
      <c r="L12">
        <v>26</v>
      </c>
      <c r="M12">
        <v>6</v>
      </c>
      <c r="N12">
        <v>23.08</v>
      </c>
      <c r="O12">
        <v>2</v>
      </c>
      <c r="P12">
        <v>0</v>
      </c>
      <c r="Q12">
        <v>0</v>
      </c>
      <c r="R12">
        <v>5</v>
      </c>
      <c r="S12">
        <v>2</v>
      </c>
      <c r="T12">
        <v>40</v>
      </c>
      <c r="U12">
        <v>6</v>
      </c>
      <c r="V12">
        <v>1</v>
      </c>
      <c r="W12">
        <v>16.670000000000002</v>
      </c>
      <c r="X12">
        <v>0</v>
      </c>
      <c r="Y12">
        <v>0</v>
      </c>
      <c r="Z12">
        <v>0</v>
      </c>
      <c r="AA12">
        <v>12</v>
      </c>
      <c r="AB12">
        <v>3</v>
      </c>
      <c r="AC12">
        <v>25</v>
      </c>
      <c r="AD12">
        <v>80</v>
      </c>
      <c r="AE12">
        <v>27</v>
      </c>
      <c r="AF12">
        <v>33.75</v>
      </c>
      <c r="AG12">
        <v>1</v>
      </c>
    </row>
    <row r="13" spans="1:33" ht="12" customHeight="1" x14ac:dyDescent="0.15">
      <c r="A13" s="3"/>
      <c r="B13" s="2" t="s">
        <v>16</v>
      </c>
      <c r="C13" t="s">
        <v>30</v>
      </c>
      <c r="D13" s="2" t="s">
        <v>12</v>
      </c>
      <c r="E13" s="2">
        <v>100</v>
      </c>
      <c r="F13" t="s">
        <v>32</v>
      </c>
      <c r="G13" t="s">
        <v>33</v>
      </c>
      <c r="H13">
        <v>0.89</v>
      </c>
      <c r="I13">
        <v>16</v>
      </c>
      <c r="J13">
        <v>5</v>
      </c>
      <c r="K13">
        <v>31.25</v>
      </c>
      <c r="L13">
        <v>25</v>
      </c>
      <c r="M13">
        <v>10</v>
      </c>
      <c r="N13">
        <v>40</v>
      </c>
      <c r="O13">
        <v>3</v>
      </c>
      <c r="P13">
        <v>0</v>
      </c>
      <c r="Q13">
        <v>0</v>
      </c>
      <c r="R13">
        <v>6</v>
      </c>
      <c r="S13">
        <v>3</v>
      </c>
      <c r="T13">
        <v>50</v>
      </c>
      <c r="U13">
        <v>3</v>
      </c>
      <c r="V13">
        <v>1</v>
      </c>
      <c r="W13">
        <v>33.33</v>
      </c>
      <c r="X13">
        <v>0</v>
      </c>
      <c r="Y13">
        <v>0</v>
      </c>
      <c r="Z13">
        <v>0</v>
      </c>
      <c r="AA13">
        <v>12</v>
      </c>
      <c r="AB13">
        <v>0</v>
      </c>
      <c r="AC13">
        <v>0</v>
      </c>
      <c r="AD13">
        <v>72</v>
      </c>
      <c r="AE13">
        <v>22</v>
      </c>
      <c r="AF13">
        <v>30.56</v>
      </c>
      <c r="AG13">
        <v>6</v>
      </c>
    </row>
    <row r="14" spans="1:33" ht="12" customHeight="1" x14ac:dyDescent="0.15">
      <c r="A14" s="3" t="s">
        <v>157</v>
      </c>
      <c r="B14" s="2" t="s">
        <v>21</v>
      </c>
      <c r="C14" t="s">
        <v>35</v>
      </c>
      <c r="D14" s="2" t="s">
        <v>12</v>
      </c>
      <c r="E14" s="2">
        <v>101</v>
      </c>
      <c r="F14" t="s">
        <v>8</v>
      </c>
      <c r="G14" t="s">
        <v>36</v>
      </c>
      <c r="H14">
        <v>1.57</v>
      </c>
      <c r="I14">
        <v>13</v>
      </c>
      <c r="J14">
        <v>5</v>
      </c>
      <c r="K14">
        <v>38.46</v>
      </c>
      <c r="L14">
        <v>37</v>
      </c>
      <c r="M14">
        <v>9</v>
      </c>
      <c r="N14">
        <v>24.32</v>
      </c>
      <c r="O14">
        <v>0</v>
      </c>
      <c r="P14">
        <v>0</v>
      </c>
      <c r="Q14">
        <v>0</v>
      </c>
      <c r="R14">
        <v>5</v>
      </c>
      <c r="S14">
        <v>4</v>
      </c>
      <c r="T14">
        <v>80</v>
      </c>
      <c r="U14">
        <v>3</v>
      </c>
      <c r="V14">
        <v>0</v>
      </c>
      <c r="W14">
        <v>0</v>
      </c>
      <c r="X14">
        <v>0</v>
      </c>
      <c r="Y14">
        <v>0</v>
      </c>
      <c r="Z14">
        <v>0</v>
      </c>
      <c r="AA14">
        <v>21</v>
      </c>
      <c r="AB14">
        <v>9</v>
      </c>
      <c r="AC14">
        <v>42.86</v>
      </c>
      <c r="AD14">
        <v>66</v>
      </c>
      <c r="AE14">
        <v>26</v>
      </c>
      <c r="AF14">
        <v>39.39</v>
      </c>
      <c r="AG14">
        <v>3</v>
      </c>
    </row>
    <row r="15" spans="1:33" ht="12" customHeight="1" x14ac:dyDescent="0.15">
      <c r="A15" s="3"/>
      <c r="B15" s="2" t="s">
        <v>21</v>
      </c>
      <c r="C15" t="s">
        <v>35</v>
      </c>
      <c r="D15" s="2" t="s">
        <v>12</v>
      </c>
      <c r="E15" s="2">
        <v>101</v>
      </c>
      <c r="F15" t="s">
        <v>37</v>
      </c>
      <c r="G15" t="s">
        <v>38</v>
      </c>
      <c r="H15">
        <v>1.46</v>
      </c>
      <c r="I15">
        <v>9</v>
      </c>
      <c r="J15">
        <v>3</v>
      </c>
      <c r="K15">
        <v>33.33</v>
      </c>
      <c r="L15">
        <v>29</v>
      </c>
      <c r="M15">
        <v>4</v>
      </c>
      <c r="N15">
        <v>13.79</v>
      </c>
      <c r="O15">
        <v>0</v>
      </c>
      <c r="P15">
        <v>0</v>
      </c>
      <c r="Q15">
        <v>0</v>
      </c>
      <c r="R15">
        <v>7</v>
      </c>
      <c r="S15">
        <v>1</v>
      </c>
      <c r="T15">
        <v>14.29</v>
      </c>
      <c r="U15">
        <v>2</v>
      </c>
      <c r="V15">
        <v>3</v>
      </c>
      <c r="W15">
        <v>150</v>
      </c>
      <c r="X15">
        <v>0</v>
      </c>
      <c r="Y15">
        <v>0</v>
      </c>
      <c r="Z15">
        <v>0</v>
      </c>
      <c r="AA15">
        <v>11</v>
      </c>
      <c r="AB15">
        <v>2</v>
      </c>
      <c r="AC15">
        <v>18.18</v>
      </c>
      <c r="AD15">
        <v>52</v>
      </c>
      <c r="AE15">
        <v>18</v>
      </c>
      <c r="AF15">
        <v>34.619999999999997</v>
      </c>
      <c r="AG15">
        <v>4</v>
      </c>
    </row>
    <row r="16" spans="1:33" ht="12" customHeight="1" x14ac:dyDescent="0.15">
      <c r="A16" s="3" t="s">
        <v>158</v>
      </c>
      <c r="B16" s="2" t="s">
        <v>24</v>
      </c>
      <c r="C16" s="2" t="s">
        <v>40</v>
      </c>
      <c r="D16" s="2" t="s">
        <v>12</v>
      </c>
      <c r="E16" s="2">
        <v>98</v>
      </c>
      <c r="F16" t="s">
        <v>8</v>
      </c>
      <c r="G16" t="s">
        <v>31</v>
      </c>
      <c r="H16">
        <v>0.26</v>
      </c>
      <c r="I16">
        <v>6</v>
      </c>
      <c r="J16">
        <v>3</v>
      </c>
      <c r="K16">
        <v>50</v>
      </c>
      <c r="L16">
        <v>16</v>
      </c>
      <c r="M16">
        <v>3</v>
      </c>
      <c r="N16">
        <v>18.75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3</v>
      </c>
      <c r="V16">
        <v>1</v>
      </c>
      <c r="W16">
        <v>33.33</v>
      </c>
      <c r="X16">
        <v>0</v>
      </c>
      <c r="Y16">
        <v>0</v>
      </c>
      <c r="Z16">
        <v>0</v>
      </c>
      <c r="AA16">
        <v>6</v>
      </c>
      <c r="AB16">
        <v>1</v>
      </c>
      <c r="AC16">
        <v>16.670000000000002</v>
      </c>
      <c r="AD16">
        <v>52</v>
      </c>
      <c r="AE16">
        <v>17</v>
      </c>
      <c r="AF16">
        <v>32.69</v>
      </c>
      <c r="AG16">
        <v>0</v>
      </c>
    </row>
    <row r="17" spans="1:33" ht="12" customHeight="1" x14ac:dyDescent="0.15">
      <c r="A17" s="3"/>
      <c r="B17" s="2" t="s">
        <v>24</v>
      </c>
      <c r="C17" s="2" t="s">
        <v>40</v>
      </c>
      <c r="D17" s="2" t="s">
        <v>12</v>
      </c>
      <c r="E17" s="2">
        <v>98</v>
      </c>
      <c r="F17" t="s">
        <v>41</v>
      </c>
      <c r="G17" t="s">
        <v>42</v>
      </c>
      <c r="H17">
        <v>1.59</v>
      </c>
      <c r="I17">
        <v>10</v>
      </c>
      <c r="J17">
        <v>3</v>
      </c>
      <c r="K17">
        <v>30</v>
      </c>
      <c r="L17">
        <v>33</v>
      </c>
      <c r="M17">
        <v>9</v>
      </c>
      <c r="N17">
        <v>27.27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2</v>
      </c>
      <c r="V17">
        <v>1</v>
      </c>
      <c r="W17">
        <v>50</v>
      </c>
      <c r="X17">
        <v>0</v>
      </c>
      <c r="Y17">
        <v>0</v>
      </c>
      <c r="Z17">
        <v>0</v>
      </c>
      <c r="AA17">
        <v>22</v>
      </c>
      <c r="AB17">
        <v>3</v>
      </c>
      <c r="AC17">
        <v>13.64</v>
      </c>
      <c r="AD17">
        <v>66</v>
      </c>
      <c r="AE17">
        <v>26</v>
      </c>
      <c r="AF17">
        <v>39.39</v>
      </c>
      <c r="AG17">
        <v>3</v>
      </c>
    </row>
    <row r="18" spans="1:33" ht="12" customHeight="1" x14ac:dyDescent="0.15">
      <c r="A18" s="3" t="s">
        <v>159</v>
      </c>
      <c r="B18" s="2" t="s">
        <v>29</v>
      </c>
      <c r="C18" t="s">
        <v>44</v>
      </c>
      <c r="D18" s="2" t="s">
        <v>12</v>
      </c>
      <c r="E18" s="2">
        <v>99</v>
      </c>
      <c r="F18" t="s">
        <v>8</v>
      </c>
      <c r="G18" t="s">
        <v>28</v>
      </c>
      <c r="H18">
        <v>0.53</v>
      </c>
      <c r="I18">
        <v>10</v>
      </c>
      <c r="J18">
        <v>5</v>
      </c>
      <c r="K18">
        <v>50</v>
      </c>
      <c r="L18">
        <v>44</v>
      </c>
      <c r="M18">
        <v>9</v>
      </c>
      <c r="N18">
        <v>20.45</v>
      </c>
      <c r="O18">
        <v>0</v>
      </c>
      <c r="P18">
        <v>0</v>
      </c>
      <c r="Q18">
        <v>0</v>
      </c>
      <c r="R18">
        <v>6</v>
      </c>
      <c r="S18">
        <v>1</v>
      </c>
      <c r="T18">
        <v>16.670000000000002</v>
      </c>
      <c r="U18">
        <v>4</v>
      </c>
      <c r="V18">
        <v>0</v>
      </c>
      <c r="W18">
        <v>0</v>
      </c>
      <c r="X18">
        <v>0</v>
      </c>
      <c r="Y18">
        <v>0</v>
      </c>
      <c r="Z18">
        <v>0</v>
      </c>
      <c r="AA18">
        <v>26</v>
      </c>
      <c r="AB18">
        <v>6</v>
      </c>
      <c r="AC18">
        <v>23.08</v>
      </c>
      <c r="AD18">
        <v>79</v>
      </c>
      <c r="AE18">
        <v>16</v>
      </c>
      <c r="AF18">
        <v>20.25</v>
      </c>
      <c r="AG18">
        <v>3</v>
      </c>
    </row>
    <row r="19" spans="1:33" ht="12" customHeight="1" x14ac:dyDescent="0.15">
      <c r="A19" s="3"/>
      <c r="B19" s="2" t="s">
        <v>29</v>
      </c>
      <c r="C19" t="s">
        <v>44</v>
      </c>
      <c r="D19" s="2" t="s">
        <v>12</v>
      </c>
      <c r="E19" s="2">
        <v>99</v>
      </c>
      <c r="F19" t="s">
        <v>45</v>
      </c>
      <c r="G19" t="s">
        <v>31</v>
      </c>
      <c r="H19">
        <v>2.1</v>
      </c>
      <c r="I19">
        <v>9</v>
      </c>
      <c r="J19">
        <v>7</v>
      </c>
      <c r="K19">
        <v>77.78</v>
      </c>
      <c r="L19">
        <v>20</v>
      </c>
      <c r="M19">
        <v>4</v>
      </c>
      <c r="N19">
        <v>20</v>
      </c>
      <c r="O19">
        <v>5</v>
      </c>
      <c r="P19">
        <v>4</v>
      </c>
      <c r="Q19">
        <v>80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6</v>
      </c>
      <c r="AB19">
        <v>1</v>
      </c>
      <c r="AC19">
        <v>16.670000000000002</v>
      </c>
      <c r="AD19">
        <v>80</v>
      </c>
      <c r="AE19">
        <v>18</v>
      </c>
      <c r="AF19">
        <v>22.5</v>
      </c>
      <c r="AG19">
        <v>2</v>
      </c>
    </row>
    <row r="20" spans="1:33" ht="12" customHeight="1" x14ac:dyDescent="0.15">
      <c r="A20" s="3" t="s">
        <v>160</v>
      </c>
      <c r="B20" s="2" t="s">
        <v>34</v>
      </c>
      <c r="C20" s="2" t="s">
        <v>47</v>
      </c>
      <c r="D20" s="2" t="s">
        <v>12</v>
      </c>
      <c r="E20" s="2">
        <v>93</v>
      </c>
      <c r="F20" t="s">
        <v>8</v>
      </c>
      <c r="G20" t="s">
        <v>13</v>
      </c>
      <c r="H20">
        <v>2.0099999999999998</v>
      </c>
      <c r="I20">
        <v>11</v>
      </c>
      <c r="J20">
        <v>6</v>
      </c>
      <c r="K20">
        <v>54.55</v>
      </c>
      <c r="L20">
        <v>36</v>
      </c>
      <c r="M20">
        <v>6</v>
      </c>
      <c r="N20">
        <v>16.670000000000002</v>
      </c>
      <c r="O20">
        <v>3</v>
      </c>
      <c r="P20">
        <v>2</v>
      </c>
      <c r="Q20">
        <v>66.67</v>
      </c>
      <c r="R20">
        <v>3</v>
      </c>
      <c r="S20">
        <v>0</v>
      </c>
      <c r="T20">
        <v>0</v>
      </c>
      <c r="U20">
        <v>1</v>
      </c>
      <c r="V20">
        <v>1</v>
      </c>
      <c r="W20">
        <v>100</v>
      </c>
      <c r="X20">
        <v>0</v>
      </c>
      <c r="Y20">
        <v>0</v>
      </c>
      <c r="Z20">
        <v>0</v>
      </c>
      <c r="AA20">
        <v>14</v>
      </c>
      <c r="AB20">
        <v>1</v>
      </c>
      <c r="AC20">
        <v>7.14</v>
      </c>
      <c r="AD20">
        <v>67</v>
      </c>
      <c r="AE20">
        <v>24</v>
      </c>
      <c r="AF20">
        <v>35.82</v>
      </c>
      <c r="AG20">
        <v>2</v>
      </c>
    </row>
    <row r="21" spans="1:33" ht="12" customHeight="1" x14ac:dyDescent="0.15">
      <c r="A21" s="3"/>
      <c r="B21" s="2" t="s">
        <v>34</v>
      </c>
      <c r="C21" s="2" t="s">
        <v>47</v>
      </c>
      <c r="D21" s="2" t="s">
        <v>12</v>
      </c>
      <c r="E21" s="2">
        <v>93</v>
      </c>
      <c r="F21" t="s">
        <v>48</v>
      </c>
      <c r="G21" t="s">
        <v>31</v>
      </c>
      <c r="H21">
        <v>0.98</v>
      </c>
      <c r="I21">
        <v>6</v>
      </c>
      <c r="J21">
        <v>0</v>
      </c>
      <c r="K21">
        <v>0</v>
      </c>
      <c r="L21">
        <v>27</v>
      </c>
      <c r="M21">
        <v>3</v>
      </c>
      <c r="N21">
        <v>11.11</v>
      </c>
      <c r="O21">
        <v>0</v>
      </c>
      <c r="P21">
        <v>0</v>
      </c>
      <c r="Q21">
        <v>0</v>
      </c>
      <c r="R21">
        <v>3</v>
      </c>
      <c r="S21">
        <v>1</v>
      </c>
      <c r="T21">
        <v>33.33</v>
      </c>
      <c r="U21">
        <v>3</v>
      </c>
      <c r="V21">
        <v>1</v>
      </c>
      <c r="W21">
        <v>33.33</v>
      </c>
      <c r="X21">
        <v>0</v>
      </c>
      <c r="Y21">
        <v>0</v>
      </c>
      <c r="Z21">
        <v>0</v>
      </c>
      <c r="AA21">
        <v>10</v>
      </c>
      <c r="AB21">
        <v>2</v>
      </c>
      <c r="AC21">
        <v>20</v>
      </c>
      <c r="AD21">
        <v>72</v>
      </c>
      <c r="AE21">
        <v>26</v>
      </c>
      <c r="AF21">
        <v>36.11</v>
      </c>
      <c r="AG21">
        <v>3</v>
      </c>
    </row>
    <row r="22" spans="1:33" x14ac:dyDescent="0.15">
      <c r="A22" s="3" t="s">
        <v>149</v>
      </c>
      <c r="B22" s="2" t="s">
        <v>139</v>
      </c>
      <c r="C22" s="2" t="s">
        <v>140</v>
      </c>
      <c r="D22" s="2" t="s">
        <v>12</v>
      </c>
      <c r="E22" s="2">
        <v>92</v>
      </c>
      <c r="F22" t="s">
        <v>8</v>
      </c>
      <c r="G22" t="s">
        <v>13</v>
      </c>
      <c r="H22">
        <v>1.9</v>
      </c>
      <c r="I22">
        <v>8</v>
      </c>
      <c r="J22">
        <v>6</v>
      </c>
      <c r="K22">
        <v>75</v>
      </c>
      <c r="L22">
        <v>26</v>
      </c>
      <c r="M22">
        <v>4</v>
      </c>
      <c r="N22">
        <v>15.38</v>
      </c>
      <c r="O22">
        <v>0</v>
      </c>
      <c r="P22">
        <v>0</v>
      </c>
      <c r="Q22">
        <v>0</v>
      </c>
      <c r="R22">
        <v>5</v>
      </c>
      <c r="S22">
        <v>3</v>
      </c>
      <c r="T22">
        <v>60</v>
      </c>
      <c r="U22">
        <v>2</v>
      </c>
      <c r="V22">
        <v>1</v>
      </c>
      <c r="W22">
        <v>50</v>
      </c>
      <c r="X22">
        <v>0</v>
      </c>
      <c r="Y22">
        <v>0</v>
      </c>
      <c r="Z22">
        <v>0</v>
      </c>
      <c r="AA22">
        <v>15</v>
      </c>
      <c r="AB22">
        <v>3</v>
      </c>
      <c r="AC22">
        <v>20</v>
      </c>
      <c r="AD22">
        <v>51</v>
      </c>
      <c r="AE22">
        <v>22</v>
      </c>
      <c r="AF22">
        <v>43.14</v>
      </c>
      <c r="AG22">
        <v>3</v>
      </c>
    </row>
    <row r="23" spans="1:33" x14ac:dyDescent="0.15">
      <c r="A23" s="3"/>
      <c r="B23" s="2" t="s">
        <v>139</v>
      </c>
      <c r="C23" s="2" t="s">
        <v>140</v>
      </c>
      <c r="D23" s="2" t="s">
        <v>12</v>
      </c>
      <c r="E23" s="2">
        <v>92</v>
      </c>
      <c r="F23" t="s">
        <v>41</v>
      </c>
      <c r="G23" t="s">
        <v>20</v>
      </c>
      <c r="H23">
        <v>2.38</v>
      </c>
      <c r="I23">
        <v>18</v>
      </c>
      <c r="J23">
        <v>11</v>
      </c>
      <c r="K23">
        <v>61.11</v>
      </c>
      <c r="L23">
        <v>35</v>
      </c>
      <c r="M23">
        <v>13</v>
      </c>
      <c r="N23">
        <v>37.14</v>
      </c>
      <c r="O23">
        <v>1</v>
      </c>
      <c r="P23">
        <v>1</v>
      </c>
      <c r="Q23">
        <v>100</v>
      </c>
      <c r="R23">
        <v>7</v>
      </c>
      <c r="S23">
        <v>2</v>
      </c>
      <c r="T23">
        <v>28.57</v>
      </c>
      <c r="U23">
        <v>1</v>
      </c>
      <c r="V23">
        <v>1</v>
      </c>
      <c r="W23">
        <v>100</v>
      </c>
      <c r="X23">
        <v>0</v>
      </c>
      <c r="Y23">
        <v>0</v>
      </c>
      <c r="Z23">
        <v>0</v>
      </c>
      <c r="AA23">
        <v>15</v>
      </c>
      <c r="AB23">
        <v>4</v>
      </c>
      <c r="AC23">
        <v>26.67</v>
      </c>
      <c r="AD23">
        <v>59</v>
      </c>
      <c r="AE23">
        <v>22</v>
      </c>
      <c r="AF23">
        <v>37.29</v>
      </c>
      <c r="AG23">
        <v>9</v>
      </c>
    </row>
    <row r="24" spans="1:33" x14ac:dyDescent="0.15">
      <c r="A24" s="3" t="s">
        <v>150</v>
      </c>
      <c r="B24" s="2" t="s">
        <v>141</v>
      </c>
      <c r="C24" s="2" t="s">
        <v>142</v>
      </c>
      <c r="D24" s="2" t="s">
        <v>12</v>
      </c>
      <c r="E24" s="2">
        <v>96</v>
      </c>
      <c r="F24" t="s">
        <v>8</v>
      </c>
      <c r="G24" t="s">
        <v>143</v>
      </c>
      <c r="H24">
        <v>2.2400000000000002</v>
      </c>
      <c r="I24">
        <v>12</v>
      </c>
      <c r="J24">
        <v>5</v>
      </c>
      <c r="K24">
        <v>41.67</v>
      </c>
      <c r="L24">
        <v>24</v>
      </c>
      <c r="M24">
        <v>7</v>
      </c>
      <c r="N24">
        <v>29.17</v>
      </c>
      <c r="O24">
        <v>2</v>
      </c>
      <c r="P24">
        <v>1</v>
      </c>
      <c r="Q24">
        <v>50</v>
      </c>
      <c r="R24">
        <v>1</v>
      </c>
      <c r="S24">
        <v>0</v>
      </c>
      <c r="T24">
        <v>0</v>
      </c>
      <c r="U24">
        <v>5</v>
      </c>
      <c r="V24">
        <v>3</v>
      </c>
      <c r="W24">
        <v>60</v>
      </c>
      <c r="X24">
        <v>0</v>
      </c>
      <c r="Y24">
        <v>0</v>
      </c>
      <c r="Z24">
        <v>0</v>
      </c>
      <c r="AA24">
        <v>15</v>
      </c>
      <c r="AB24">
        <v>3</v>
      </c>
      <c r="AC24">
        <v>20</v>
      </c>
      <c r="AD24">
        <v>86</v>
      </c>
      <c r="AE24">
        <v>35</v>
      </c>
      <c r="AF24">
        <v>40.700000000000003</v>
      </c>
      <c r="AG24">
        <v>3</v>
      </c>
    </row>
    <row r="25" spans="1:33" x14ac:dyDescent="0.15">
      <c r="A25" s="3"/>
      <c r="B25" s="2" t="s">
        <v>141</v>
      </c>
      <c r="C25" s="2" t="s">
        <v>142</v>
      </c>
      <c r="D25" s="2" t="s">
        <v>12</v>
      </c>
      <c r="E25" s="2">
        <v>96</v>
      </c>
      <c r="F25" t="s">
        <v>144</v>
      </c>
      <c r="G25" t="s">
        <v>145</v>
      </c>
      <c r="H25">
        <v>1.94</v>
      </c>
      <c r="I25">
        <v>14</v>
      </c>
      <c r="J25">
        <v>5</v>
      </c>
      <c r="K25">
        <v>35.71</v>
      </c>
      <c r="L25">
        <v>25</v>
      </c>
      <c r="M25">
        <v>10</v>
      </c>
      <c r="N25">
        <v>40</v>
      </c>
      <c r="O25">
        <v>2</v>
      </c>
      <c r="P25">
        <v>1</v>
      </c>
      <c r="Q25">
        <v>50</v>
      </c>
      <c r="R25">
        <v>3</v>
      </c>
      <c r="S25">
        <v>0</v>
      </c>
      <c r="T25">
        <v>0</v>
      </c>
      <c r="U25">
        <v>4</v>
      </c>
      <c r="V25">
        <v>1</v>
      </c>
      <c r="W25">
        <v>25</v>
      </c>
      <c r="X25">
        <v>1</v>
      </c>
      <c r="Y25">
        <v>0</v>
      </c>
      <c r="Z25">
        <v>0</v>
      </c>
      <c r="AA25">
        <v>12</v>
      </c>
      <c r="AB25">
        <v>6</v>
      </c>
      <c r="AC25">
        <v>50</v>
      </c>
      <c r="AD25">
        <v>104</v>
      </c>
      <c r="AE25">
        <v>40</v>
      </c>
      <c r="AF25">
        <v>38.46</v>
      </c>
      <c r="AG25">
        <v>7</v>
      </c>
    </row>
    <row r="26" spans="1:33" x14ac:dyDescent="0.15">
      <c r="A26" s="3" t="s">
        <v>151</v>
      </c>
      <c r="B26" s="2" t="s">
        <v>146</v>
      </c>
      <c r="C26" s="2" t="s">
        <v>147</v>
      </c>
      <c r="D26" s="2" t="s">
        <v>12</v>
      </c>
      <c r="E26" s="2">
        <v>100</v>
      </c>
      <c r="F26" t="s">
        <v>8</v>
      </c>
      <c r="G26" t="s">
        <v>28</v>
      </c>
      <c r="H26">
        <v>0.37</v>
      </c>
      <c r="I26">
        <v>4</v>
      </c>
      <c r="J26">
        <v>0</v>
      </c>
      <c r="K26">
        <v>0</v>
      </c>
      <c r="L26">
        <v>26</v>
      </c>
      <c r="M26">
        <v>3</v>
      </c>
      <c r="N26">
        <v>11.54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2</v>
      </c>
      <c r="V26">
        <v>0</v>
      </c>
      <c r="W26">
        <v>0</v>
      </c>
      <c r="X26">
        <v>0</v>
      </c>
      <c r="Y26">
        <v>0</v>
      </c>
      <c r="Z26">
        <v>0</v>
      </c>
      <c r="AA26">
        <v>8</v>
      </c>
      <c r="AB26">
        <v>1</v>
      </c>
      <c r="AC26">
        <v>12.5</v>
      </c>
      <c r="AD26">
        <v>41</v>
      </c>
      <c r="AE26">
        <v>11</v>
      </c>
      <c r="AF26">
        <v>26.83</v>
      </c>
      <c r="AG26">
        <v>2</v>
      </c>
    </row>
    <row r="27" spans="1:33" x14ac:dyDescent="0.15">
      <c r="A27" s="3"/>
      <c r="B27" s="2" t="s">
        <v>146</v>
      </c>
      <c r="C27" s="2" t="s">
        <v>147</v>
      </c>
      <c r="D27" s="2" t="s">
        <v>12</v>
      </c>
      <c r="E27" s="2">
        <v>100</v>
      </c>
      <c r="F27" t="s">
        <v>148</v>
      </c>
      <c r="G27" t="s">
        <v>36</v>
      </c>
      <c r="H27">
        <v>0.88</v>
      </c>
      <c r="I27">
        <v>7</v>
      </c>
      <c r="J27">
        <v>1</v>
      </c>
      <c r="K27">
        <v>14.29</v>
      </c>
      <c r="L27">
        <v>30</v>
      </c>
      <c r="M27">
        <v>6</v>
      </c>
      <c r="N27">
        <v>20</v>
      </c>
      <c r="O27">
        <v>0</v>
      </c>
      <c r="P27">
        <v>0</v>
      </c>
      <c r="Q27">
        <v>0</v>
      </c>
      <c r="R27">
        <v>2</v>
      </c>
      <c r="S27">
        <v>0</v>
      </c>
      <c r="T27">
        <v>0</v>
      </c>
      <c r="U27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9</v>
      </c>
      <c r="AB27">
        <v>3</v>
      </c>
      <c r="AC27">
        <v>33.33</v>
      </c>
      <c r="AD27">
        <v>69</v>
      </c>
      <c r="AE27">
        <v>23</v>
      </c>
      <c r="AF27">
        <v>33.33</v>
      </c>
      <c r="AG27">
        <v>3</v>
      </c>
    </row>
  </sheetData>
  <mergeCells count="56">
    <mergeCell ref="D26:D27"/>
    <mergeCell ref="B26:B27"/>
    <mergeCell ref="C26:C27"/>
    <mergeCell ref="E26:E27"/>
    <mergeCell ref="B4:B5"/>
    <mergeCell ref="B6:B7"/>
    <mergeCell ref="B10:B11"/>
    <mergeCell ref="B16:B17"/>
    <mergeCell ref="B20:B21"/>
    <mergeCell ref="B22:B23"/>
    <mergeCell ref="E22:E23"/>
    <mergeCell ref="B24:B25"/>
    <mergeCell ref="C24:C25"/>
    <mergeCell ref="D24:D25"/>
    <mergeCell ref="E24:E25"/>
    <mergeCell ref="C22:C23"/>
    <mergeCell ref="D22:D23"/>
    <mergeCell ref="A24:A25"/>
    <mergeCell ref="A26:A27"/>
    <mergeCell ref="A20:A21"/>
    <mergeCell ref="C20:C21"/>
    <mergeCell ref="D20:D21"/>
    <mergeCell ref="E20:E21"/>
    <mergeCell ref="A22:A23"/>
    <mergeCell ref="A16:A17"/>
    <mergeCell ref="C16:C17"/>
    <mergeCell ref="D16:D17"/>
    <mergeCell ref="E16:E17"/>
    <mergeCell ref="A18:A19"/>
    <mergeCell ref="B18:B19"/>
    <mergeCell ref="D18:D19"/>
    <mergeCell ref="E18:E19"/>
    <mergeCell ref="A12:A13"/>
    <mergeCell ref="B12:B13"/>
    <mergeCell ref="D12:D13"/>
    <mergeCell ref="E12:E13"/>
    <mergeCell ref="A14:A15"/>
    <mergeCell ref="B14:B15"/>
    <mergeCell ref="D14:D15"/>
    <mergeCell ref="E14:E15"/>
    <mergeCell ref="A8:A9"/>
    <mergeCell ref="B8:B9"/>
    <mergeCell ref="D8:D9"/>
    <mergeCell ref="E8:E9"/>
    <mergeCell ref="A10:A11"/>
    <mergeCell ref="C10:C11"/>
    <mergeCell ref="D10:D11"/>
    <mergeCell ref="E10:E11"/>
    <mergeCell ref="A4:A5"/>
    <mergeCell ref="C4:C5"/>
    <mergeCell ref="D4:D5"/>
    <mergeCell ref="E4:E5"/>
    <mergeCell ref="A6:A7"/>
    <mergeCell ref="C6:C7"/>
    <mergeCell ref="D6:D7"/>
    <mergeCell ref="E6:E7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A4CA1-28F1-384B-8503-3C83B8A40461}">
  <dimension ref="A1:Y27"/>
  <sheetViews>
    <sheetView showOutlineSymbols="0" showWhiteSpace="0" topLeftCell="F1" workbookViewId="0">
      <selection activeCell="H2" sqref="H2:Y3"/>
    </sheetView>
  </sheetViews>
  <sheetFormatPr baseColWidth="10" defaultColWidth="8.83203125" defaultRowHeight="14" x14ac:dyDescent="0.15"/>
  <cols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55</v>
      </c>
      <c r="I1" t="s">
        <v>93</v>
      </c>
      <c r="J1" t="s">
        <v>94</v>
      </c>
      <c r="K1" t="s">
        <v>95</v>
      </c>
      <c r="L1" t="s">
        <v>96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54</v>
      </c>
      <c r="V1" t="s">
        <v>53</v>
      </c>
      <c r="W1" t="s">
        <v>52</v>
      </c>
      <c r="X1" t="s">
        <v>51</v>
      </c>
      <c r="Y1" t="s">
        <v>50</v>
      </c>
    </row>
    <row r="2" spans="1:25" x14ac:dyDescent="0.15">
      <c r="A2" s="1" t="s">
        <v>8</v>
      </c>
      <c r="B2" s="1"/>
      <c r="C2" s="1"/>
      <c r="D2" s="1"/>
      <c r="E2" s="1"/>
      <c r="F2" s="1"/>
      <c r="G2" s="1"/>
      <c r="H2" s="1">
        <f t="shared" ref="H2:J3" si="0">AVERAGE(H4,H6,H8,H10,H12,H14,H16,H18,H20,H22,H24,H26)</f>
        <v>1.3333333333333333</v>
      </c>
      <c r="I2" s="1">
        <f t="shared" si="0"/>
        <v>10.833333333333334</v>
      </c>
      <c r="J2" s="1">
        <f t="shared" si="0"/>
        <v>4.333333333333333</v>
      </c>
      <c r="K2" s="1">
        <f>IFERROR(SUM(J4,J6,J8,J10,J12,J14,J16,J18,J20,J22,J24,J26)/SUM(I4,I6,I8,I10,I12,I14,I16,I18,I20,I22,I24,I26)*100,0)</f>
        <v>40</v>
      </c>
      <c r="L2" s="1">
        <f>AVERAGE(L4,L6,L8,L10,L12,L14,L16,L18,L20,L22,L24,L26)</f>
        <v>71.833333333333329</v>
      </c>
      <c r="M2" s="1">
        <f>AVERAGE(M4,M6,M8,M10,M12,M14,M16,M18,M20,M22,M24,M26)</f>
        <v>48.5</v>
      </c>
      <c r="N2" s="1">
        <f>IFERROR(SUM(M4,M6,M8,M10,M12,M14,M16,M18,M20,M22,M24,M26)/SUM(L4,L6,L8,L10,L12,L14,L16,L18,L20,L22,L24,L26)*100,0)</f>
        <v>67.517401392111367</v>
      </c>
      <c r="O2" s="1">
        <f>AVERAGE(O4,O6,O8,O10,O12,O14,O16,O18,O20,O22,O24,O26)</f>
        <v>52.083333333333336</v>
      </c>
      <c r="P2" s="1">
        <f>AVERAGE(P4,P6,P8,P10,P12,P14,P16,P18,P20,P22,P24,P26)</f>
        <v>24.833333333333332</v>
      </c>
      <c r="Q2" s="1">
        <f>IFERROR(SUM(P4,P6,P8,P10,P12,P14,P16,P18,P20,P22,P24,P26)/SUM(O4,O6,O8,O10,O12,O14,O16,O18,O20,O22,O24,O26)*100,0)</f>
        <v>47.68</v>
      </c>
      <c r="R2" s="1">
        <f>AVERAGE(R4,R6,R8,R10,R12,R14,R16,R18,R20,R22,R24,R26)</f>
        <v>2.25</v>
      </c>
      <c r="S2" s="1">
        <f>AVERAGE(S4,S6,S8,S10,S12,S14,S16,S18,S20,S22,S24,S26)</f>
        <v>1.5</v>
      </c>
      <c r="T2" s="1">
        <f>IFERROR(SUM(S4,S6,S8,S10,S12,S14,S16,S18,S20,S22,S24,S26)/SUM(R4,R6,R8,R10,R12,R14,R16,R18,R20,R22,R24,R26)*100,0)</f>
        <v>66.666666666666657</v>
      </c>
      <c r="U2" s="1">
        <f t="shared" ref="U2:Y3" si="1">AVERAGE(U4,U6,U8,U10,U12,U14,U16,U18,U20,U22,U24,U26)</f>
        <v>40.583333333333336</v>
      </c>
      <c r="V2" s="1">
        <f t="shared" si="1"/>
        <v>17.5</v>
      </c>
      <c r="W2" s="1">
        <f t="shared" si="1"/>
        <v>12.416666666666666</v>
      </c>
      <c r="X2" s="1">
        <f t="shared" si="1"/>
        <v>1.3333333333333333</v>
      </c>
      <c r="Y2" s="1">
        <f t="shared" si="1"/>
        <v>8.3333333333333329E-2</v>
      </c>
    </row>
    <row r="3" spans="1:25" x14ac:dyDescent="0.15">
      <c r="A3" s="1" t="s">
        <v>9</v>
      </c>
      <c r="B3" s="1"/>
      <c r="C3" s="1"/>
      <c r="D3" s="1"/>
      <c r="E3" s="1"/>
      <c r="F3" s="1"/>
      <c r="G3" s="1"/>
      <c r="H3" s="1">
        <f t="shared" si="0"/>
        <v>1.6666666666666667</v>
      </c>
      <c r="I3" s="1">
        <f t="shared" si="0"/>
        <v>9.25</v>
      </c>
      <c r="J3" s="1">
        <f t="shared" si="0"/>
        <v>4.333333333333333</v>
      </c>
      <c r="K3" s="1">
        <f>IFERROR(SUM(J5,J7,J9,J11,J13,J15,J17,J19,J21,J23,J25,J27)/SUM(I5,I7,I9,I11,I13,I15,I17,I19,I21,I23,I25,I27)*100,0)</f>
        <v>46.846846846846844</v>
      </c>
      <c r="L3" s="1">
        <f>AVERAGE(L5,L7,L9,L11,L13,L15,L17,L19,L21,L23,L25,L27)</f>
        <v>66.166666666666671</v>
      </c>
      <c r="M3" s="1">
        <f>AVERAGE(M5,M7,M9,M11,M13,M15,M17,M19,M21,M23,M25,M27)</f>
        <v>43.416666666666664</v>
      </c>
      <c r="N3" s="1">
        <f>IFERROR(SUM(M5,M7,M9,M11,M13,M15,M17,M19,M21,M23,M25,M27)/SUM(L5,L7,L9,L11,L13,L15,L17,L19,L21,L23,L25,L27)*100,0)</f>
        <v>65.617128463476064</v>
      </c>
      <c r="O3" s="1">
        <f>AVERAGE(O5,O7,O9,O11,O13,O15,O17,O19,O21,O23,O25,O27)</f>
        <v>52.083333333333336</v>
      </c>
      <c r="P3" s="1">
        <f>AVERAGE(P5,P7,P9,P11,P13,P15,P17,P19,P21,P23,P25,P27)</f>
        <v>21.166666666666668</v>
      </c>
      <c r="Q3" s="1">
        <f>IFERROR(SUM(P5,P7,P9,P11,P13,P15,P17,P19,P21,P23,P25,P27)/SUM(O5,O7,O9,O11,O13,O15,O17,O19,O21,O23,O25,O27)*100,0)</f>
        <v>40.64</v>
      </c>
      <c r="R3" s="1">
        <f>AVERAGE(R5,R7,R9,R11,R13,R15,R17,R19,R21,R23,R25,R27)</f>
        <v>3.4166666666666665</v>
      </c>
      <c r="S3" s="1">
        <f>AVERAGE(S5,S7,S9,S11,S13,S15,S17,S19,S21,S23,S25,S27)</f>
        <v>1.8333333333333333</v>
      </c>
      <c r="T3" s="1">
        <f>IFERROR(SUM(S5,S7,S9,S11,S13,S15,S17,S19,S21,S23,S25,S27)/SUM(R5,R7,R9,R11,R13,R15,R17,R19,R21,R23,R25,R27)*100,0)</f>
        <v>53.658536585365859</v>
      </c>
      <c r="U3" s="1">
        <f t="shared" si="1"/>
        <v>41.5</v>
      </c>
      <c r="V3" s="1">
        <f t="shared" si="1"/>
        <v>19.166666666666668</v>
      </c>
      <c r="W3" s="1">
        <f t="shared" si="1"/>
        <v>11.75</v>
      </c>
      <c r="X3" s="1">
        <f t="shared" si="1"/>
        <v>2.4166666666666665</v>
      </c>
      <c r="Y3" s="1">
        <f t="shared" si="1"/>
        <v>0.16666666666666666</v>
      </c>
    </row>
    <row r="4" spans="1:25" ht="12" customHeight="1" x14ac:dyDescent="0.15">
      <c r="A4" s="3" t="s">
        <v>152</v>
      </c>
      <c r="B4" s="2" t="s">
        <v>10</v>
      </c>
      <c r="C4" s="2" t="s">
        <v>11</v>
      </c>
      <c r="D4" s="2" t="s">
        <v>12</v>
      </c>
      <c r="E4" s="2">
        <v>94</v>
      </c>
      <c r="F4" t="s">
        <v>8</v>
      </c>
      <c r="G4" t="s">
        <v>13</v>
      </c>
      <c r="H4">
        <v>0</v>
      </c>
      <c r="I4">
        <v>8</v>
      </c>
      <c r="J4">
        <v>1</v>
      </c>
      <c r="K4">
        <v>12.5</v>
      </c>
      <c r="L4">
        <v>46</v>
      </c>
      <c r="M4">
        <v>34</v>
      </c>
      <c r="N4">
        <v>73.91</v>
      </c>
      <c r="O4">
        <v>28</v>
      </c>
      <c r="P4">
        <v>17</v>
      </c>
      <c r="Q4">
        <v>60.71</v>
      </c>
      <c r="R4">
        <v>3</v>
      </c>
      <c r="S4">
        <v>2</v>
      </c>
      <c r="T4">
        <v>66.67</v>
      </c>
      <c r="U4">
        <v>56</v>
      </c>
      <c r="V4">
        <v>17</v>
      </c>
      <c r="W4">
        <v>8</v>
      </c>
      <c r="X4">
        <v>1</v>
      </c>
      <c r="Y4">
        <v>0</v>
      </c>
    </row>
    <row r="5" spans="1:25" ht="12" customHeight="1" x14ac:dyDescent="0.15">
      <c r="A5" s="3"/>
      <c r="B5" s="2" t="s">
        <v>10</v>
      </c>
      <c r="C5" s="2" t="s">
        <v>11</v>
      </c>
      <c r="D5" s="2" t="s">
        <v>12</v>
      </c>
      <c r="E5" s="2">
        <v>94</v>
      </c>
      <c r="F5" t="s">
        <v>14</v>
      </c>
      <c r="G5" t="s">
        <v>15</v>
      </c>
      <c r="H5">
        <v>1</v>
      </c>
      <c r="I5">
        <v>6</v>
      </c>
      <c r="J5">
        <v>2</v>
      </c>
      <c r="K5">
        <v>33.33</v>
      </c>
      <c r="L5">
        <v>79</v>
      </c>
      <c r="M5">
        <v>49</v>
      </c>
      <c r="N5">
        <v>62.03</v>
      </c>
      <c r="O5">
        <v>28</v>
      </c>
      <c r="P5">
        <v>8</v>
      </c>
      <c r="Q5">
        <v>28.57</v>
      </c>
      <c r="R5">
        <v>3</v>
      </c>
      <c r="S5">
        <v>1</v>
      </c>
      <c r="T5">
        <v>33.33</v>
      </c>
      <c r="U5">
        <v>31</v>
      </c>
      <c r="V5">
        <v>17</v>
      </c>
      <c r="W5">
        <v>16</v>
      </c>
      <c r="X5">
        <v>3</v>
      </c>
      <c r="Y5">
        <v>0</v>
      </c>
    </row>
    <row r="6" spans="1:25" ht="12" customHeight="1" x14ac:dyDescent="0.15">
      <c r="A6" s="3" t="s">
        <v>153</v>
      </c>
      <c r="B6" s="2" t="s">
        <v>16</v>
      </c>
      <c r="C6" s="2" t="s">
        <v>17</v>
      </c>
      <c r="D6" s="2" t="s">
        <v>12</v>
      </c>
      <c r="E6" s="2">
        <v>96</v>
      </c>
      <c r="F6" t="s">
        <v>8</v>
      </c>
      <c r="G6" t="s">
        <v>18</v>
      </c>
      <c r="H6">
        <v>2</v>
      </c>
      <c r="I6">
        <v>12</v>
      </c>
      <c r="J6">
        <v>4</v>
      </c>
      <c r="K6">
        <v>33.33</v>
      </c>
      <c r="L6">
        <v>66</v>
      </c>
      <c r="M6">
        <v>50</v>
      </c>
      <c r="N6">
        <v>75.760000000000005</v>
      </c>
      <c r="O6">
        <v>47</v>
      </c>
      <c r="P6">
        <v>22</v>
      </c>
      <c r="Q6">
        <v>46.81</v>
      </c>
      <c r="R6">
        <v>3</v>
      </c>
      <c r="S6">
        <v>2</v>
      </c>
      <c r="T6">
        <v>66.67</v>
      </c>
      <c r="U6">
        <v>53</v>
      </c>
      <c r="V6">
        <v>24</v>
      </c>
      <c r="W6">
        <v>10</v>
      </c>
      <c r="X6">
        <v>0</v>
      </c>
      <c r="Y6">
        <v>0</v>
      </c>
    </row>
    <row r="7" spans="1:25" ht="12" customHeight="1" x14ac:dyDescent="0.15">
      <c r="A7" s="3"/>
      <c r="B7" s="2" t="s">
        <v>16</v>
      </c>
      <c r="C7" s="2" t="s">
        <v>17</v>
      </c>
      <c r="D7" s="2" t="s">
        <v>12</v>
      </c>
      <c r="E7" s="2">
        <v>96</v>
      </c>
      <c r="F7" t="s">
        <v>19</v>
      </c>
      <c r="G7" t="s">
        <v>20</v>
      </c>
      <c r="H7">
        <v>3</v>
      </c>
      <c r="I7">
        <v>8</v>
      </c>
      <c r="J7">
        <v>5</v>
      </c>
      <c r="K7">
        <v>62.5</v>
      </c>
      <c r="L7">
        <v>67</v>
      </c>
      <c r="M7">
        <v>45</v>
      </c>
      <c r="N7">
        <v>67.16</v>
      </c>
      <c r="O7">
        <v>47</v>
      </c>
      <c r="P7">
        <v>19</v>
      </c>
      <c r="Q7">
        <v>40.43</v>
      </c>
      <c r="R7">
        <v>3</v>
      </c>
      <c r="S7">
        <v>2</v>
      </c>
      <c r="T7">
        <v>66.67</v>
      </c>
      <c r="U7">
        <v>47</v>
      </c>
      <c r="V7">
        <v>13</v>
      </c>
      <c r="W7">
        <v>17</v>
      </c>
      <c r="X7">
        <v>0</v>
      </c>
      <c r="Y7">
        <v>0</v>
      </c>
    </row>
    <row r="8" spans="1:25" ht="12" customHeight="1" x14ac:dyDescent="0.15">
      <c r="A8" s="3" t="s">
        <v>154</v>
      </c>
      <c r="B8" s="2" t="s">
        <v>21</v>
      </c>
      <c r="C8" s="2" t="s">
        <v>22</v>
      </c>
      <c r="D8" s="2" t="s">
        <v>12</v>
      </c>
      <c r="E8" s="2">
        <v>100</v>
      </c>
      <c r="F8" t="s">
        <v>8</v>
      </c>
      <c r="G8" t="s">
        <v>13</v>
      </c>
      <c r="H8">
        <v>1</v>
      </c>
      <c r="I8">
        <v>8</v>
      </c>
      <c r="J8">
        <v>3</v>
      </c>
      <c r="K8">
        <v>37.5</v>
      </c>
      <c r="L8">
        <v>84</v>
      </c>
      <c r="M8">
        <v>62</v>
      </c>
      <c r="N8">
        <v>73.81</v>
      </c>
      <c r="O8">
        <v>65</v>
      </c>
      <c r="P8">
        <v>28</v>
      </c>
      <c r="Q8">
        <v>43.08</v>
      </c>
      <c r="R8">
        <v>1</v>
      </c>
      <c r="S8">
        <v>1</v>
      </c>
      <c r="T8">
        <v>100</v>
      </c>
      <c r="U8">
        <v>45</v>
      </c>
      <c r="V8">
        <v>4</v>
      </c>
      <c r="W8">
        <v>13</v>
      </c>
      <c r="X8">
        <v>4</v>
      </c>
      <c r="Y8">
        <v>0</v>
      </c>
    </row>
    <row r="9" spans="1:25" ht="12" customHeight="1" x14ac:dyDescent="0.15">
      <c r="A9" s="3"/>
      <c r="B9" s="2" t="s">
        <v>21</v>
      </c>
      <c r="C9" s="2" t="s">
        <v>22</v>
      </c>
      <c r="D9" s="2" t="s">
        <v>12</v>
      </c>
      <c r="E9" s="2">
        <v>100</v>
      </c>
      <c r="F9" t="s">
        <v>23</v>
      </c>
      <c r="G9" t="s">
        <v>20</v>
      </c>
      <c r="H9">
        <v>1</v>
      </c>
      <c r="I9">
        <v>11</v>
      </c>
      <c r="J9">
        <v>5</v>
      </c>
      <c r="K9">
        <v>45.45</v>
      </c>
      <c r="L9">
        <v>75</v>
      </c>
      <c r="M9">
        <v>52</v>
      </c>
      <c r="N9">
        <v>69.33</v>
      </c>
      <c r="O9">
        <v>65</v>
      </c>
      <c r="P9">
        <v>31</v>
      </c>
      <c r="Q9">
        <v>47.69</v>
      </c>
      <c r="R9">
        <v>2</v>
      </c>
      <c r="S9">
        <v>1</v>
      </c>
      <c r="T9">
        <v>50</v>
      </c>
      <c r="U9">
        <v>44</v>
      </c>
      <c r="V9">
        <v>26</v>
      </c>
      <c r="W9">
        <v>10</v>
      </c>
      <c r="X9">
        <v>6</v>
      </c>
      <c r="Y9">
        <v>0</v>
      </c>
    </row>
    <row r="10" spans="1:25" ht="12" customHeight="1" x14ac:dyDescent="0.15">
      <c r="A10" s="3" t="s">
        <v>155</v>
      </c>
      <c r="B10" s="2" t="s">
        <v>24</v>
      </c>
      <c r="C10" s="2" t="s">
        <v>25</v>
      </c>
      <c r="D10" s="2" t="s">
        <v>12</v>
      </c>
      <c r="E10" s="2">
        <v>97</v>
      </c>
      <c r="F10" t="s">
        <v>8</v>
      </c>
      <c r="G10" t="s">
        <v>26</v>
      </c>
      <c r="H10">
        <v>2</v>
      </c>
      <c r="I10">
        <v>13</v>
      </c>
      <c r="J10">
        <v>6</v>
      </c>
      <c r="K10">
        <v>46.15</v>
      </c>
      <c r="L10">
        <v>92</v>
      </c>
      <c r="M10">
        <v>57</v>
      </c>
      <c r="N10">
        <v>61.96</v>
      </c>
      <c r="O10">
        <v>73</v>
      </c>
      <c r="P10">
        <v>36</v>
      </c>
      <c r="Q10">
        <v>49.32</v>
      </c>
      <c r="R10">
        <v>1</v>
      </c>
      <c r="S10">
        <v>1</v>
      </c>
      <c r="T10">
        <v>100</v>
      </c>
      <c r="U10">
        <v>46</v>
      </c>
      <c r="V10">
        <v>28</v>
      </c>
      <c r="W10">
        <v>14</v>
      </c>
      <c r="X10">
        <v>0</v>
      </c>
      <c r="Y10">
        <v>1</v>
      </c>
    </row>
    <row r="11" spans="1:25" ht="12" customHeight="1" x14ac:dyDescent="0.15">
      <c r="A11" s="3"/>
      <c r="B11" s="2" t="s">
        <v>24</v>
      </c>
      <c r="C11" s="2" t="s">
        <v>25</v>
      </c>
      <c r="D11" s="2" t="s">
        <v>12</v>
      </c>
      <c r="E11" s="2">
        <v>97</v>
      </c>
      <c r="F11" t="s">
        <v>27</v>
      </c>
      <c r="G11" t="s">
        <v>28</v>
      </c>
      <c r="H11">
        <v>4</v>
      </c>
      <c r="I11">
        <v>10</v>
      </c>
      <c r="J11">
        <v>4</v>
      </c>
      <c r="K11">
        <v>40</v>
      </c>
      <c r="L11">
        <v>51</v>
      </c>
      <c r="M11">
        <v>31</v>
      </c>
      <c r="N11">
        <v>60.78</v>
      </c>
      <c r="O11">
        <v>73</v>
      </c>
      <c r="P11">
        <v>25</v>
      </c>
      <c r="Q11">
        <v>34.25</v>
      </c>
      <c r="R11">
        <v>4</v>
      </c>
      <c r="S11">
        <v>2</v>
      </c>
      <c r="T11">
        <v>50</v>
      </c>
      <c r="U11">
        <v>36</v>
      </c>
      <c r="V11">
        <v>15</v>
      </c>
      <c r="W11">
        <v>7</v>
      </c>
      <c r="X11">
        <v>1</v>
      </c>
      <c r="Y11">
        <v>0</v>
      </c>
    </row>
    <row r="12" spans="1:25" ht="12" customHeight="1" x14ac:dyDescent="0.15">
      <c r="A12" s="3" t="s">
        <v>156</v>
      </c>
      <c r="B12" s="2" t="s">
        <v>29</v>
      </c>
      <c r="C12" s="2" t="s">
        <v>30</v>
      </c>
      <c r="D12" s="2" t="s">
        <v>12</v>
      </c>
      <c r="E12" s="2">
        <v>100</v>
      </c>
      <c r="F12" t="s">
        <v>8</v>
      </c>
      <c r="G12" t="s">
        <v>31</v>
      </c>
      <c r="H12">
        <v>2</v>
      </c>
      <c r="I12">
        <v>16</v>
      </c>
      <c r="J12">
        <v>6</v>
      </c>
      <c r="K12">
        <v>37.5</v>
      </c>
      <c r="L12">
        <v>72</v>
      </c>
      <c r="M12">
        <v>50</v>
      </c>
      <c r="N12">
        <v>69.44</v>
      </c>
      <c r="O12">
        <v>58</v>
      </c>
      <c r="P12">
        <v>25</v>
      </c>
      <c r="Q12">
        <v>43.1</v>
      </c>
      <c r="R12">
        <v>3</v>
      </c>
      <c r="S12">
        <v>1</v>
      </c>
      <c r="T12">
        <v>33.33</v>
      </c>
      <c r="U12">
        <v>38</v>
      </c>
      <c r="V12">
        <v>20</v>
      </c>
      <c r="W12">
        <v>13</v>
      </c>
      <c r="X12">
        <v>1</v>
      </c>
      <c r="Y12">
        <v>0</v>
      </c>
    </row>
    <row r="13" spans="1:25" ht="12" customHeight="1" x14ac:dyDescent="0.15">
      <c r="A13" s="3"/>
      <c r="B13" s="2" t="s">
        <v>29</v>
      </c>
      <c r="C13" s="2" t="s">
        <v>30</v>
      </c>
      <c r="D13" s="2" t="s">
        <v>12</v>
      </c>
      <c r="E13" s="2">
        <v>100</v>
      </c>
      <c r="F13" t="s">
        <v>32</v>
      </c>
      <c r="G13" t="s">
        <v>33</v>
      </c>
      <c r="H13">
        <v>2</v>
      </c>
      <c r="I13">
        <v>12</v>
      </c>
      <c r="J13">
        <v>4</v>
      </c>
      <c r="K13">
        <v>33.33</v>
      </c>
      <c r="L13">
        <v>80</v>
      </c>
      <c r="M13">
        <v>53</v>
      </c>
      <c r="N13">
        <v>66.25</v>
      </c>
      <c r="O13">
        <v>58</v>
      </c>
      <c r="P13">
        <v>26</v>
      </c>
      <c r="Q13">
        <v>44.83</v>
      </c>
      <c r="R13">
        <v>6</v>
      </c>
      <c r="S13">
        <v>2</v>
      </c>
      <c r="T13">
        <v>33.33</v>
      </c>
      <c r="U13">
        <v>44</v>
      </c>
      <c r="V13">
        <v>35</v>
      </c>
      <c r="W13">
        <v>12</v>
      </c>
      <c r="X13">
        <v>2</v>
      </c>
      <c r="Y13">
        <v>1</v>
      </c>
    </row>
    <row r="14" spans="1:25" ht="12" customHeight="1" x14ac:dyDescent="0.15">
      <c r="A14" s="3" t="s">
        <v>157</v>
      </c>
      <c r="B14" s="2" t="s">
        <v>34</v>
      </c>
      <c r="C14" s="2" t="s">
        <v>35</v>
      </c>
      <c r="D14" s="2" t="s">
        <v>12</v>
      </c>
      <c r="E14" s="2">
        <v>101</v>
      </c>
      <c r="F14" t="s">
        <v>8</v>
      </c>
      <c r="G14" t="s">
        <v>36</v>
      </c>
      <c r="H14">
        <v>1</v>
      </c>
      <c r="I14">
        <v>9</v>
      </c>
      <c r="J14">
        <v>3</v>
      </c>
      <c r="K14">
        <v>33.33</v>
      </c>
      <c r="L14">
        <v>52</v>
      </c>
      <c r="M14">
        <v>34</v>
      </c>
      <c r="N14">
        <v>65.38</v>
      </c>
      <c r="O14">
        <v>58</v>
      </c>
      <c r="P14">
        <v>30</v>
      </c>
      <c r="Q14">
        <v>51.72</v>
      </c>
      <c r="R14">
        <v>3</v>
      </c>
      <c r="S14">
        <v>1</v>
      </c>
      <c r="T14">
        <v>33.33</v>
      </c>
      <c r="U14">
        <v>37</v>
      </c>
      <c r="V14">
        <v>28</v>
      </c>
      <c r="W14">
        <v>14</v>
      </c>
      <c r="X14">
        <v>2</v>
      </c>
      <c r="Y14">
        <v>0</v>
      </c>
    </row>
    <row r="15" spans="1:25" ht="12" customHeight="1" x14ac:dyDescent="0.15">
      <c r="A15" s="3"/>
      <c r="B15" s="2" t="s">
        <v>34</v>
      </c>
      <c r="C15" s="2" t="s">
        <v>35</v>
      </c>
      <c r="D15" s="2" t="s">
        <v>12</v>
      </c>
      <c r="E15" s="2">
        <v>101</v>
      </c>
      <c r="F15" t="s">
        <v>37</v>
      </c>
      <c r="G15" t="s">
        <v>38</v>
      </c>
      <c r="H15">
        <v>2</v>
      </c>
      <c r="I15">
        <v>13</v>
      </c>
      <c r="J15">
        <v>5</v>
      </c>
      <c r="K15">
        <v>38.46</v>
      </c>
      <c r="L15">
        <v>66</v>
      </c>
      <c r="M15">
        <v>40</v>
      </c>
      <c r="N15">
        <v>60.61</v>
      </c>
      <c r="O15">
        <v>58</v>
      </c>
      <c r="P15">
        <v>23</v>
      </c>
      <c r="Q15">
        <v>39.659999999999997</v>
      </c>
      <c r="R15">
        <v>4</v>
      </c>
      <c r="S15">
        <v>3</v>
      </c>
      <c r="T15">
        <v>75</v>
      </c>
      <c r="U15">
        <v>48</v>
      </c>
      <c r="V15">
        <v>14</v>
      </c>
      <c r="W15">
        <v>8</v>
      </c>
      <c r="X15">
        <v>1</v>
      </c>
      <c r="Y15">
        <v>1</v>
      </c>
    </row>
    <row r="16" spans="1:25" ht="12" customHeight="1" x14ac:dyDescent="0.15">
      <c r="A16" s="3" t="s">
        <v>158</v>
      </c>
      <c r="B16" s="2" t="s">
        <v>39</v>
      </c>
      <c r="C16" s="2" t="s">
        <v>40</v>
      </c>
      <c r="D16" s="2" t="s">
        <v>12</v>
      </c>
      <c r="E16" s="2">
        <v>98</v>
      </c>
      <c r="F16" t="s">
        <v>8</v>
      </c>
      <c r="G16" t="s">
        <v>31</v>
      </c>
      <c r="H16">
        <v>0</v>
      </c>
      <c r="I16">
        <v>10</v>
      </c>
      <c r="J16">
        <v>3</v>
      </c>
      <c r="K16">
        <v>30</v>
      </c>
      <c r="L16">
        <v>66</v>
      </c>
      <c r="M16">
        <v>40</v>
      </c>
      <c r="N16">
        <v>60.61</v>
      </c>
      <c r="O16">
        <v>42</v>
      </c>
      <c r="P16">
        <v>21</v>
      </c>
      <c r="Q16">
        <v>50</v>
      </c>
      <c r="R16">
        <v>3</v>
      </c>
      <c r="S16">
        <v>3</v>
      </c>
      <c r="T16">
        <v>100</v>
      </c>
      <c r="U16">
        <v>38</v>
      </c>
      <c r="V16">
        <v>23</v>
      </c>
      <c r="W16">
        <v>9</v>
      </c>
      <c r="X16">
        <v>0</v>
      </c>
      <c r="Y16">
        <v>0</v>
      </c>
    </row>
    <row r="17" spans="1:25" ht="12" customHeight="1" x14ac:dyDescent="0.15">
      <c r="A17" s="3"/>
      <c r="B17" s="2" t="s">
        <v>39</v>
      </c>
      <c r="C17" s="2" t="s">
        <v>40</v>
      </c>
      <c r="D17" s="2" t="s">
        <v>12</v>
      </c>
      <c r="E17" s="2">
        <v>98</v>
      </c>
      <c r="F17" t="s">
        <v>41</v>
      </c>
      <c r="G17" t="s">
        <v>42</v>
      </c>
      <c r="H17">
        <v>0</v>
      </c>
      <c r="I17">
        <v>6</v>
      </c>
      <c r="J17">
        <v>3</v>
      </c>
      <c r="K17">
        <v>50</v>
      </c>
      <c r="L17">
        <v>52</v>
      </c>
      <c r="M17">
        <v>35</v>
      </c>
      <c r="N17">
        <v>67.31</v>
      </c>
      <c r="O17">
        <v>42</v>
      </c>
      <c r="P17">
        <v>17</v>
      </c>
      <c r="Q17">
        <v>40.479999999999997</v>
      </c>
      <c r="R17">
        <v>2</v>
      </c>
      <c r="S17">
        <v>0</v>
      </c>
      <c r="T17">
        <v>0</v>
      </c>
      <c r="U17">
        <v>31</v>
      </c>
      <c r="V17">
        <v>11</v>
      </c>
      <c r="W17">
        <v>11</v>
      </c>
      <c r="X17">
        <v>3</v>
      </c>
      <c r="Y17">
        <v>0</v>
      </c>
    </row>
    <row r="18" spans="1:25" ht="12" customHeight="1" x14ac:dyDescent="0.15">
      <c r="A18" s="3" t="s">
        <v>159</v>
      </c>
      <c r="B18" s="2" t="s">
        <v>43</v>
      </c>
      <c r="C18" s="2" t="s">
        <v>44</v>
      </c>
      <c r="D18" s="2" t="s">
        <v>12</v>
      </c>
      <c r="E18" s="2">
        <v>99</v>
      </c>
      <c r="F18" t="s">
        <v>8</v>
      </c>
      <c r="G18" t="s">
        <v>28</v>
      </c>
      <c r="H18">
        <v>3</v>
      </c>
      <c r="I18">
        <v>9</v>
      </c>
      <c r="J18">
        <v>7</v>
      </c>
      <c r="K18">
        <v>77.78</v>
      </c>
      <c r="L18">
        <v>80</v>
      </c>
      <c r="M18">
        <v>62</v>
      </c>
      <c r="N18">
        <v>77.5</v>
      </c>
      <c r="O18">
        <v>64</v>
      </c>
      <c r="P18">
        <v>33</v>
      </c>
      <c r="Q18">
        <v>51.56</v>
      </c>
      <c r="R18">
        <v>2</v>
      </c>
      <c r="S18">
        <v>0</v>
      </c>
      <c r="T18">
        <v>0</v>
      </c>
      <c r="U18">
        <v>28</v>
      </c>
      <c r="V18">
        <v>7</v>
      </c>
      <c r="W18">
        <v>9</v>
      </c>
      <c r="X18">
        <v>4</v>
      </c>
      <c r="Y18">
        <v>0</v>
      </c>
    </row>
    <row r="19" spans="1:25" ht="12" customHeight="1" x14ac:dyDescent="0.15">
      <c r="A19" s="3"/>
      <c r="B19" s="2" t="s">
        <v>43</v>
      </c>
      <c r="C19" s="2" t="s">
        <v>44</v>
      </c>
      <c r="D19" s="2" t="s">
        <v>12</v>
      </c>
      <c r="E19" s="2">
        <v>99</v>
      </c>
      <c r="F19" t="s">
        <v>45</v>
      </c>
      <c r="G19" t="s">
        <v>31</v>
      </c>
      <c r="H19">
        <v>1</v>
      </c>
      <c r="I19">
        <v>10</v>
      </c>
      <c r="J19">
        <v>6</v>
      </c>
      <c r="K19">
        <v>60</v>
      </c>
      <c r="L19">
        <v>79</v>
      </c>
      <c r="M19">
        <v>63</v>
      </c>
      <c r="N19">
        <v>79.75</v>
      </c>
      <c r="O19">
        <v>64</v>
      </c>
      <c r="P19">
        <v>25</v>
      </c>
      <c r="Q19">
        <v>39.06</v>
      </c>
      <c r="R19">
        <v>6</v>
      </c>
      <c r="S19">
        <v>5</v>
      </c>
      <c r="T19">
        <v>83.33</v>
      </c>
      <c r="U19">
        <v>50</v>
      </c>
      <c r="V19">
        <v>40</v>
      </c>
      <c r="W19">
        <v>14</v>
      </c>
      <c r="X19">
        <v>4</v>
      </c>
      <c r="Y19">
        <v>0</v>
      </c>
    </row>
    <row r="20" spans="1:25" ht="12" customHeight="1" x14ac:dyDescent="0.15">
      <c r="A20" s="3" t="s">
        <v>160</v>
      </c>
      <c r="B20" s="2" t="s">
        <v>46</v>
      </c>
      <c r="C20" s="2" t="s">
        <v>47</v>
      </c>
      <c r="D20" s="2" t="s">
        <v>12</v>
      </c>
      <c r="E20" s="2">
        <v>93</v>
      </c>
      <c r="F20" t="s">
        <v>8</v>
      </c>
      <c r="G20" t="s">
        <v>13</v>
      </c>
      <c r="H20">
        <v>0</v>
      </c>
      <c r="I20">
        <v>6</v>
      </c>
      <c r="J20">
        <v>2</v>
      </c>
      <c r="K20">
        <v>33.33</v>
      </c>
      <c r="L20">
        <v>72</v>
      </c>
      <c r="M20">
        <v>46</v>
      </c>
      <c r="N20">
        <v>63.89</v>
      </c>
      <c r="O20">
        <v>42</v>
      </c>
      <c r="P20">
        <v>17</v>
      </c>
      <c r="Q20">
        <v>40.479999999999997</v>
      </c>
      <c r="R20">
        <v>3</v>
      </c>
      <c r="S20">
        <v>3</v>
      </c>
      <c r="T20">
        <v>100</v>
      </c>
      <c r="U20">
        <v>39</v>
      </c>
      <c r="V20">
        <v>15</v>
      </c>
      <c r="W20">
        <v>11</v>
      </c>
      <c r="X20">
        <v>1</v>
      </c>
      <c r="Y20">
        <v>0</v>
      </c>
    </row>
    <row r="21" spans="1:25" ht="12" customHeight="1" x14ac:dyDescent="0.15">
      <c r="A21" s="3"/>
      <c r="B21" s="2" t="s">
        <v>46</v>
      </c>
      <c r="C21" s="2" t="s">
        <v>47</v>
      </c>
      <c r="D21" s="2" t="s">
        <v>12</v>
      </c>
      <c r="E21" s="2">
        <v>93</v>
      </c>
      <c r="F21" t="s">
        <v>48</v>
      </c>
      <c r="G21" t="s">
        <v>31</v>
      </c>
      <c r="H21">
        <v>2</v>
      </c>
      <c r="I21">
        <v>11</v>
      </c>
      <c r="J21">
        <v>6</v>
      </c>
      <c r="K21">
        <v>54.55</v>
      </c>
      <c r="L21">
        <v>67</v>
      </c>
      <c r="M21">
        <v>43</v>
      </c>
      <c r="N21">
        <v>64.180000000000007</v>
      </c>
      <c r="O21">
        <v>42</v>
      </c>
      <c r="P21">
        <v>20</v>
      </c>
      <c r="Q21">
        <v>47.62</v>
      </c>
      <c r="R21">
        <v>4</v>
      </c>
      <c r="S21">
        <v>1</v>
      </c>
      <c r="T21">
        <v>25</v>
      </c>
      <c r="U21">
        <v>44</v>
      </c>
      <c r="V21">
        <v>19</v>
      </c>
      <c r="W21">
        <v>15</v>
      </c>
      <c r="X21">
        <v>3</v>
      </c>
      <c r="Y21">
        <v>0</v>
      </c>
    </row>
    <row r="22" spans="1:25" x14ac:dyDescent="0.15">
      <c r="A22" s="3" t="s">
        <v>149</v>
      </c>
      <c r="B22" s="2" t="s">
        <v>139</v>
      </c>
      <c r="C22" s="2" t="s">
        <v>140</v>
      </c>
      <c r="D22" s="2" t="s">
        <v>12</v>
      </c>
      <c r="E22" s="2">
        <v>92</v>
      </c>
      <c r="F22" t="s">
        <v>8</v>
      </c>
      <c r="G22" t="s">
        <v>13</v>
      </c>
      <c r="H22">
        <v>4</v>
      </c>
      <c r="I22">
        <v>18</v>
      </c>
      <c r="J22">
        <v>11</v>
      </c>
      <c r="K22">
        <v>61.11</v>
      </c>
      <c r="L22">
        <v>59</v>
      </c>
      <c r="M22">
        <v>37</v>
      </c>
      <c r="N22">
        <v>62.71</v>
      </c>
      <c r="O22">
        <v>21</v>
      </c>
      <c r="P22">
        <v>9</v>
      </c>
      <c r="Q22">
        <v>42.86</v>
      </c>
      <c r="R22">
        <v>3</v>
      </c>
      <c r="S22">
        <v>2</v>
      </c>
      <c r="T22">
        <v>66.67</v>
      </c>
      <c r="U22">
        <v>36</v>
      </c>
      <c r="V22">
        <v>11</v>
      </c>
      <c r="W22">
        <v>10</v>
      </c>
      <c r="X22">
        <v>1</v>
      </c>
      <c r="Y22">
        <v>0</v>
      </c>
    </row>
    <row r="23" spans="1:25" x14ac:dyDescent="0.15">
      <c r="A23" s="3"/>
      <c r="B23" s="2" t="s">
        <v>139</v>
      </c>
      <c r="C23" s="2" t="s">
        <v>140</v>
      </c>
      <c r="D23" s="2" t="s">
        <v>12</v>
      </c>
      <c r="E23" s="2">
        <v>92</v>
      </c>
      <c r="F23" t="s">
        <v>41</v>
      </c>
      <c r="G23" t="s">
        <v>20</v>
      </c>
      <c r="H23">
        <v>1</v>
      </c>
      <c r="I23">
        <v>8</v>
      </c>
      <c r="J23">
        <v>6</v>
      </c>
      <c r="K23">
        <v>75</v>
      </c>
      <c r="L23">
        <v>51</v>
      </c>
      <c r="M23">
        <v>29</v>
      </c>
      <c r="N23">
        <v>56.86</v>
      </c>
      <c r="O23">
        <v>21</v>
      </c>
      <c r="P23">
        <v>11</v>
      </c>
      <c r="Q23">
        <v>52.38</v>
      </c>
      <c r="R23">
        <v>2</v>
      </c>
      <c r="S23">
        <v>2</v>
      </c>
      <c r="T23">
        <v>100</v>
      </c>
      <c r="U23">
        <v>37</v>
      </c>
      <c r="V23">
        <v>10</v>
      </c>
      <c r="W23">
        <v>6</v>
      </c>
      <c r="X23">
        <v>0</v>
      </c>
      <c r="Y23">
        <v>0</v>
      </c>
    </row>
    <row r="24" spans="1:25" x14ac:dyDescent="0.15">
      <c r="A24" s="3" t="s">
        <v>150</v>
      </c>
      <c r="B24" s="2" t="s">
        <v>141</v>
      </c>
      <c r="C24" s="2" t="s">
        <v>142</v>
      </c>
      <c r="D24" s="2" t="s">
        <v>12</v>
      </c>
      <c r="E24" s="2">
        <v>96</v>
      </c>
      <c r="F24" t="s">
        <v>8</v>
      </c>
      <c r="G24" t="s">
        <v>143</v>
      </c>
      <c r="H24">
        <v>1</v>
      </c>
      <c r="I24">
        <v>14</v>
      </c>
      <c r="J24">
        <v>5</v>
      </c>
      <c r="K24">
        <v>35.71</v>
      </c>
      <c r="L24">
        <v>104</v>
      </c>
      <c r="M24">
        <v>64</v>
      </c>
      <c r="N24">
        <v>61.54</v>
      </c>
      <c r="O24">
        <v>45</v>
      </c>
      <c r="P24">
        <v>20</v>
      </c>
      <c r="Q24">
        <v>44.44</v>
      </c>
      <c r="R24">
        <v>2</v>
      </c>
      <c r="S24">
        <v>2</v>
      </c>
      <c r="T24">
        <v>100</v>
      </c>
      <c r="U24">
        <v>33</v>
      </c>
      <c r="V24">
        <v>15</v>
      </c>
      <c r="W24">
        <v>19</v>
      </c>
      <c r="X24">
        <v>2</v>
      </c>
      <c r="Y24">
        <v>0</v>
      </c>
    </row>
    <row r="25" spans="1:25" x14ac:dyDescent="0.15">
      <c r="A25" s="3"/>
      <c r="B25" s="2" t="s">
        <v>141</v>
      </c>
      <c r="C25" s="2" t="s">
        <v>142</v>
      </c>
      <c r="D25" s="2" t="s">
        <v>12</v>
      </c>
      <c r="E25" s="2">
        <v>96</v>
      </c>
      <c r="F25" t="s">
        <v>144</v>
      </c>
      <c r="G25" t="s">
        <v>145</v>
      </c>
      <c r="H25">
        <v>3</v>
      </c>
      <c r="I25">
        <v>12</v>
      </c>
      <c r="J25">
        <v>6</v>
      </c>
      <c r="K25">
        <v>50</v>
      </c>
      <c r="L25">
        <v>86</v>
      </c>
      <c r="M25">
        <v>51</v>
      </c>
      <c r="N25">
        <v>59.3</v>
      </c>
      <c r="O25">
        <v>45</v>
      </c>
      <c r="P25">
        <v>17</v>
      </c>
      <c r="Q25">
        <v>37.78</v>
      </c>
      <c r="R25">
        <v>4</v>
      </c>
      <c r="S25">
        <v>2</v>
      </c>
      <c r="T25">
        <v>50</v>
      </c>
      <c r="U25">
        <v>47</v>
      </c>
      <c r="V25">
        <v>18</v>
      </c>
      <c r="W25">
        <v>15</v>
      </c>
      <c r="X25">
        <v>4</v>
      </c>
      <c r="Y25">
        <v>0</v>
      </c>
    </row>
    <row r="26" spans="1:25" x14ac:dyDescent="0.15">
      <c r="A26" s="3" t="s">
        <v>151</v>
      </c>
      <c r="B26" s="2" t="s">
        <v>146</v>
      </c>
      <c r="C26" s="2" t="s">
        <v>147</v>
      </c>
      <c r="D26" s="2" t="s">
        <v>12</v>
      </c>
      <c r="E26" s="2">
        <v>100</v>
      </c>
      <c r="F26" t="s">
        <v>8</v>
      </c>
      <c r="G26" t="s">
        <v>28</v>
      </c>
      <c r="H26">
        <v>0</v>
      </c>
      <c r="I26">
        <v>7</v>
      </c>
      <c r="J26">
        <v>1</v>
      </c>
      <c r="K26">
        <v>14.29</v>
      </c>
      <c r="L26">
        <v>69</v>
      </c>
      <c r="M26">
        <v>46</v>
      </c>
      <c r="N26">
        <v>66.67</v>
      </c>
      <c r="O26">
        <v>82</v>
      </c>
      <c r="P26">
        <v>40</v>
      </c>
      <c r="Q26">
        <v>48.78</v>
      </c>
      <c r="R26">
        <v>0</v>
      </c>
      <c r="S26">
        <v>0</v>
      </c>
      <c r="T26">
        <v>0</v>
      </c>
      <c r="U26">
        <v>38</v>
      </c>
      <c r="V26">
        <v>18</v>
      </c>
      <c r="W26">
        <v>19</v>
      </c>
      <c r="X26">
        <v>0</v>
      </c>
      <c r="Y26">
        <v>0</v>
      </c>
    </row>
    <row r="27" spans="1:25" x14ac:dyDescent="0.15">
      <c r="A27" s="3"/>
      <c r="B27" s="2" t="s">
        <v>146</v>
      </c>
      <c r="C27" s="2" t="s">
        <v>147</v>
      </c>
      <c r="D27" s="2" t="s">
        <v>12</v>
      </c>
      <c r="E27" s="2">
        <v>100</v>
      </c>
      <c r="F27" t="s">
        <v>148</v>
      </c>
      <c r="G27" t="s">
        <v>36</v>
      </c>
      <c r="H27">
        <v>0</v>
      </c>
      <c r="I27">
        <v>4</v>
      </c>
      <c r="J27">
        <v>0</v>
      </c>
      <c r="K27">
        <v>0</v>
      </c>
      <c r="L27">
        <v>41</v>
      </c>
      <c r="M27">
        <v>30</v>
      </c>
      <c r="N27">
        <v>73.17</v>
      </c>
      <c r="O27">
        <v>82</v>
      </c>
      <c r="P27">
        <v>32</v>
      </c>
      <c r="Q27">
        <v>39.020000000000003</v>
      </c>
      <c r="R27">
        <v>1</v>
      </c>
      <c r="S27">
        <v>1</v>
      </c>
      <c r="T27">
        <v>100</v>
      </c>
      <c r="U27">
        <v>39</v>
      </c>
      <c r="V27">
        <v>12</v>
      </c>
      <c r="W27">
        <v>10</v>
      </c>
      <c r="X27">
        <v>2</v>
      </c>
      <c r="Y27">
        <v>0</v>
      </c>
    </row>
  </sheetData>
  <mergeCells count="60">
    <mergeCell ref="D26:D27"/>
    <mergeCell ref="E26:E27"/>
    <mergeCell ref="D22:D23"/>
    <mergeCell ref="E22:E23"/>
    <mergeCell ref="B24:B25"/>
    <mergeCell ref="C24:C25"/>
    <mergeCell ref="D24:D25"/>
    <mergeCell ref="E24:E25"/>
    <mergeCell ref="A22:A23"/>
    <mergeCell ref="A24:A25"/>
    <mergeCell ref="A26:A27"/>
    <mergeCell ref="B22:B23"/>
    <mergeCell ref="C22:C23"/>
    <mergeCell ref="B26:B27"/>
    <mergeCell ref="C26:C27"/>
    <mergeCell ref="B4:B5"/>
    <mergeCell ref="C4:C5"/>
    <mergeCell ref="D4:D5"/>
    <mergeCell ref="E4:E5"/>
    <mergeCell ref="A4:A5"/>
    <mergeCell ref="B6:B7"/>
    <mergeCell ref="C6:C7"/>
    <mergeCell ref="D6:D7"/>
    <mergeCell ref="E6:E7"/>
    <mergeCell ref="B8:B9"/>
    <mergeCell ref="C8:C9"/>
    <mergeCell ref="D8:D9"/>
    <mergeCell ref="E8:E9"/>
    <mergeCell ref="B10:B11"/>
    <mergeCell ref="C10:C11"/>
    <mergeCell ref="D10:D11"/>
    <mergeCell ref="E10:E11"/>
    <mergeCell ref="B12:B13"/>
    <mergeCell ref="C12:C13"/>
    <mergeCell ref="D12:D13"/>
    <mergeCell ref="E12:E13"/>
    <mergeCell ref="B14:B15"/>
    <mergeCell ref="C14:C15"/>
    <mergeCell ref="D14:D15"/>
    <mergeCell ref="E14:E15"/>
    <mergeCell ref="B16:B17"/>
    <mergeCell ref="C16:C17"/>
    <mergeCell ref="D16:D17"/>
    <mergeCell ref="E16:E17"/>
    <mergeCell ref="B18:B19"/>
    <mergeCell ref="C18:C19"/>
    <mergeCell ref="D18:D19"/>
    <mergeCell ref="E18:E19"/>
    <mergeCell ref="B20:B21"/>
    <mergeCell ref="C20:C21"/>
    <mergeCell ref="D20:D21"/>
    <mergeCell ref="E20:E21"/>
    <mergeCell ref="A16:A17"/>
    <mergeCell ref="A18:A19"/>
    <mergeCell ref="A20:A21"/>
    <mergeCell ref="A6:A7"/>
    <mergeCell ref="A8:A9"/>
    <mergeCell ref="A10:A11"/>
    <mergeCell ref="A12:A13"/>
    <mergeCell ref="A14:A15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54AF6-CA5E-2E45-9C33-2211DF03A8FB}">
  <dimension ref="A1:AI27"/>
  <sheetViews>
    <sheetView showOutlineSymbols="0" showWhiteSpace="0" workbookViewId="0">
      <selection activeCell="H2" sqref="H2:AI3"/>
    </sheetView>
  </sheetViews>
  <sheetFormatPr baseColWidth="10" defaultColWidth="8.83203125" defaultRowHeight="14" x14ac:dyDescent="0.15"/>
  <cols>
    <col min="1" max="1" width="10.83203125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56</v>
      </c>
    </row>
    <row r="2" spans="1:35" x14ac:dyDescent="0.15">
      <c r="A2" s="1" t="s">
        <v>8</v>
      </c>
      <c r="B2" s="1"/>
      <c r="C2" s="1"/>
      <c r="D2" s="1"/>
      <c r="E2" s="1"/>
      <c r="F2" s="1"/>
      <c r="G2" s="1"/>
      <c r="H2" s="1">
        <f>AVERAGE(H4,H6,H8,H10,H12,H14,H16,H18,H20,H22,H24,H26)</f>
        <v>375.33333333333331</v>
      </c>
      <c r="I2" s="1">
        <f>AVERAGE(I4,I6,I8,I10,I12,I14,I16,I18,I20,I22,I24,I26)</f>
        <v>287</v>
      </c>
      <c r="J2" s="1">
        <f>IFERROR(SUM(I4,I6,I8,I10,I12,I14,I16,I18,I20,I22,I24,I26)/SUM(H4,H6,H8,H10,H12,H14,H16,H18,H20,H22,H24,H26)*100,0)</f>
        <v>76.46536412078153</v>
      </c>
      <c r="K2" s="1">
        <f>AVERAGE(K4,K6,K8,K10,K12,K14,K16,K18,K20,K22,K24,K26)</f>
        <v>149.33333333333334</v>
      </c>
      <c r="L2" s="1">
        <f>AVERAGE(L4,L6,L8,L10,L12,L14,L16,L18,L20,L22,L24,L26)</f>
        <v>100.16666666666667</v>
      </c>
      <c r="M2" s="1">
        <f>IFERROR(SUM(L4,L6,L8,L10,L12,L14,L16,L18,L20,L22,L24,L26)/SUM(K4,K6,K8,K10,K12,K14,K16,K18,K20,K22,K24,K26)*100,0)</f>
        <v>67.075892857142861</v>
      </c>
      <c r="N2" s="1">
        <f>AVERAGE(N4,N6,N8,N10,N12,N14,N16,N18,N20,N22,N24,N26)</f>
        <v>46.416666666666664</v>
      </c>
      <c r="O2" s="1">
        <f>AVERAGE(O4,O6,O8,O10,O12,O14,O16,O18,O20,O22,O24,O26)</f>
        <v>42.666666666666664</v>
      </c>
      <c r="P2" s="1">
        <f>IFERROR(SUM(O4,O6,O8,O10,O12,O14,O16,O18,O20,O22,O24,O26)/SUM(N4,N6,N8,N10,N12,N14,N16,N18,N20,N22,N24,N26)*100,0)</f>
        <v>91.921005385996409</v>
      </c>
      <c r="Q2" s="1">
        <f>AVERAGE(Q4,Q6,Q8,Q10,Q12,Q14,Q16,Q18,Q20,Q22,Q24,Q26)</f>
        <v>125</v>
      </c>
      <c r="R2" s="1">
        <f>AVERAGE(R4,R6,R8,R10,R12,R14,R16,R18,R20,R22,R24,R26)</f>
        <v>103.58333333333333</v>
      </c>
      <c r="S2" s="1">
        <f>IFERROR(SUM(R4,R6,R8,R10,R12,R14,R16,R18,R20,R22,R24,R26)/SUM(Q4,Q6,Q8,Q10,Q12,Q14,Q16,Q18,Q20,Q22,Q24,Q26)*100,0)</f>
        <v>82.86666666666666</v>
      </c>
      <c r="T2" s="1">
        <f>AVERAGE(T4,T6,T8,T10,T12,T14,T16,T18,T20,T22,T24,T26)</f>
        <v>54.583333333333336</v>
      </c>
      <c r="U2" s="1">
        <f>AVERAGE(U4,U6,U8,U10,U12,U14,U16,U18,U20,U22,U24,U26)</f>
        <v>27.083333333333332</v>
      </c>
      <c r="V2" s="1">
        <f>IFERROR(SUM(U4,U6,U8,U10,U12,U14,U16,U18,U20,U22,U24,U26)/SUM(T4,T6,T8,T10,T12,T14,T16,T18,T20,T22,T24,T26)*100,0)</f>
        <v>49.618320610687022</v>
      </c>
      <c r="W2" s="1">
        <f>AVERAGE(W4,W6,W8,W10,W12,W14,W16,W18,W20,W22,W24,W26)</f>
        <v>51.333333333333336</v>
      </c>
      <c r="X2" s="1">
        <f>AVERAGE(X4,X6,X8,X10,X12,X14,X16,X18,X20,X22,X24,X26)</f>
        <v>28.75</v>
      </c>
      <c r="Y2" s="1">
        <f>IFERROR(SUM(X4,X6,X8,X10,X12,X14,X16,X18,X20,X22,X24,X26)/SUM(W4,W6,W8,W10,W12,W14,W16,W18,W20,W22,W24,W26)*100,0)</f>
        <v>56.006493506493506</v>
      </c>
      <c r="Z2" s="1">
        <f>AVERAGE(Z4,Z6,Z8,Z10,Z12,Z14,Z16,Z18,Z20,Z22,Z24,Z26)</f>
        <v>73.083333333333329</v>
      </c>
      <c r="AA2" s="1">
        <f>AVERAGE(AA4,AA6,AA8,AA10,AA12,AA14,AA16,AA18,AA20,AA22,AA24,AA26)</f>
        <v>50.666666666666664</v>
      </c>
      <c r="AB2" s="1">
        <f>IFERROR(SUM(AA4,AA6,AA8,AA10,AA12,AA14,AA16,AA18,AA20,AA22,AA24,AA26)/SUM(Z4,Z6,Z8,Z10,Z12,Z14,Z16,Z18,Z20,Z22,Z24,Z26)*100,0)</f>
        <v>69.327251995438999</v>
      </c>
      <c r="AC2" s="1">
        <f>AVERAGE(AC4,AC6,AC8,AC10,AC12,AC14,AC16,AC18,AC20,AC22,AC24,AC26)</f>
        <v>0.58333333333333337</v>
      </c>
      <c r="AD2" s="1">
        <f>AVERAGE(AD4,AD6,AD8,AD10,AD12,AD14,AD16,AD18,AD20,AD22,AD24,AD26)</f>
        <v>0.16666666666666666</v>
      </c>
      <c r="AE2" s="1">
        <f>IFERROR(SUM(AD4,AD6,AD8,AD10,AD12,AD14,AD16,AD18,AD20,AD22,AD24,AD26)/SUM(AC4,AC6,AC8,AC10,AC12,AC14,AC16,AC18,AC20,AC22,AC24,AC26)*100,0)</f>
        <v>28.571428571428569</v>
      </c>
      <c r="AF2" s="1">
        <f>AVERAGE(AF4,AF6,AF8,AF10,AF12,AF14,AF16,AF18,AF20,AF22,AF24,AF26)</f>
        <v>24.583333333333332</v>
      </c>
      <c r="AG2" s="1">
        <f>AVERAGE(AG4,AG6,AG8,AG10,AG12,AG14,AG16,AG18,AG20,AG22,AG24,AG26)</f>
        <v>21.5</v>
      </c>
      <c r="AH2" s="1">
        <f>IFERROR(SUM(AG4,AG6,AG8,AG10,AG12,AG14,AG16,AG18,AG20,AG22,AG24,AG26)/SUM(AF4,AF6,AF8,AF10,AF12,AF14,AF16,AF18,AF20,AF22,AF24,AF26)*100,0)</f>
        <v>87.457627118644069</v>
      </c>
      <c r="AI2" s="1">
        <f>AVERAGE(AI4,AI6,AI8,AI10,AI12,AI14,AI16,AI18,AI20,AI22,AI24,AI26)</f>
        <v>7.916666666666667</v>
      </c>
    </row>
    <row r="3" spans="1:35" x14ac:dyDescent="0.15">
      <c r="A3" s="1" t="s">
        <v>9</v>
      </c>
      <c r="B3" s="1"/>
      <c r="C3" s="1"/>
      <c r="D3" s="1"/>
      <c r="E3" s="1"/>
      <c r="F3" s="1"/>
      <c r="G3" s="1"/>
      <c r="H3" s="1">
        <f>AVERAGE(H5,H7,H9,H11,H13,H15,H17,H19,H21,H23,H25,H27)</f>
        <v>390.75</v>
      </c>
      <c r="I3" s="1">
        <f>AVERAGE(I5,I7,I9,I11,I13,I15,I17,I19,I21,I23,I25,I27)</f>
        <v>304.83333333333331</v>
      </c>
      <c r="J3" s="1">
        <f>IFERROR(SUM(I5,I7,I9,I11,I13,I15,I17,I19,I21,I23,I25,I27)/SUM(H5,H7,H9,H11,H13,H15,H17,H19,H21,H23,H25,H27)*100,0)</f>
        <v>78.012369375133289</v>
      </c>
      <c r="K3" s="1">
        <f>AVERAGE(K5,K7,K9,K11,K13,K15,K17,K19,K21,K23,K25,K27)</f>
        <v>149.08333333333334</v>
      </c>
      <c r="L3" s="1">
        <f>AVERAGE(L5,L7,L9,L11,L13,L15,L17,L19,L21,L23,L25,L27)</f>
        <v>100</v>
      </c>
      <c r="M3" s="1">
        <f>IFERROR(SUM(L5,L7,L9,L11,L13,L15,L17,L19,L21,L23,L25,L27)/SUM(K5,K7,K9,K11,K13,K15,K17,K19,K21,K23,K25,K27)*100,0)</f>
        <v>67.076579094466183</v>
      </c>
      <c r="N3" s="1">
        <f>AVERAGE(N5,N7,N9,N11,N13,N15,N17,N19,N21,N23,N25,N27)</f>
        <v>50.666666666666664</v>
      </c>
      <c r="O3" s="1">
        <f>AVERAGE(O5,O7,O9,O11,O13,O15,O17,O19,O21,O23,O25,O27)</f>
        <v>46.083333333333336</v>
      </c>
      <c r="P3" s="1">
        <f>IFERROR(SUM(O5,O7,O9,O11,O13,O15,O17,O19,O21,O23,O25,O27)/SUM(N5,N7,N9,N11,N13,N15,N17,N19,N21,N23,N25,N27)*100,0)</f>
        <v>90.953947368421055</v>
      </c>
      <c r="Q3" s="1">
        <f>AVERAGE(Q5,Q7,Q9,Q11,Q13,Q15,Q17,Q19,Q21,Q23,Q25,Q27)</f>
        <v>135.91666666666666</v>
      </c>
      <c r="R3" s="1">
        <f>AVERAGE(R5,R7,R9,R11,R13,R15,R17,R19,R21,R23,R25,R27)</f>
        <v>116.58333333333333</v>
      </c>
      <c r="S3" s="1">
        <f>IFERROR(SUM(R5,R7,R9,R11,R13,R15,R17,R19,R21,R23,R25,R27)/SUM(Q5,Q7,Q9,Q11,Q13,Q15,Q17,Q19,Q21,Q23,Q25,Q27)*100,0)</f>
        <v>85.775597792765183</v>
      </c>
      <c r="T3" s="1">
        <f>AVERAGE(T5,T7,T9,T11,T13,T15,T17,T19,T21,T23,T25,T27)</f>
        <v>54.833333333333336</v>
      </c>
      <c r="U3" s="1">
        <f>AVERAGE(U5,U7,U9,U11,U13,U15,U17,U19,U21,U23,U25,U27)</f>
        <v>27</v>
      </c>
      <c r="V3" s="1">
        <f>IFERROR(SUM(U5,U7,U9,U11,U13,U15,U17,U19,U21,U23,U25,U27)/SUM(T5,T7,T9,T11,T13,T15,T17,T19,T21,T23,T25,T27)*100,0)</f>
        <v>49.240121580547111</v>
      </c>
      <c r="W3" s="1">
        <f>AVERAGE(W5,W7,W9,W11,W13,W15,W17,W19,W21,W23,W25,W27)</f>
        <v>56.916666666666664</v>
      </c>
      <c r="X3" s="1">
        <f>AVERAGE(X5,X7,X9,X11,X13,X15,X17,X19,X21,X23,X25,X27)</f>
        <v>32.75</v>
      </c>
      <c r="Y3" s="1">
        <f>IFERROR(SUM(X5,X7,X9,X11,X13,X15,X17,X19,X21,X23,X25,X27)/SUM(W5,W7,W9,W11,W13,W15,W17,W19,W21,W23,W25,W27)*100,0)</f>
        <v>57.540263543191806</v>
      </c>
      <c r="Z3" s="1">
        <f>AVERAGE(Z5,Z7,Z9,Z11,Z13,Z15,Z17,Z19,Z21,Z23,Z25,Z27)</f>
        <v>73.916666666666671</v>
      </c>
      <c r="AA3" s="1">
        <f>AVERAGE(AA5,AA7,AA9,AA11,AA13,AA15,AA17,AA19,AA21,AA23,AA25,AA27)</f>
        <v>50.75</v>
      </c>
      <c r="AB3" s="1">
        <f>IFERROR(SUM(AA5,AA7,AA9,AA11,AA13,AA15,AA17,AA19,AA21,AA23,AA25,AA27)/SUM(Z5,Z7,Z9,Z11,Z13,Z15,Z17,Z19,Z21,Z23,Z25,Z27)*100,0)</f>
        <v>68.658399098083422</v>
      </c>
      <c r="AC3" s="1">
        <f>AVERAGE(AC5,AC7,AC9,AC11,AC13,AC15,AC17,AC19,AC21,AC23,AC25,AC27)</f>
        <v>0.91666666666666663</v>
      </c>
      <c r="AD3" s="1">
        <f>AVERAGE(AD5,AD7,AD9,AD11,AD13,AD15,AD17,AD19,AD21,AD23,AD25,AD27)</f>
        <v>0.16666666666666666</v>
      </c>
      <c r="AE3" s="1">
        <f>IFERROR(SUM(AD5,AD7,AD9,AD11,AD13,AD15,AD17,AD19,AD21,AD23,AD25,AD27)/SUM(AC5,AC7,AC9,AC11,AC13,AC15,AC17,AC19,AC21,AC23,AC25,AC27)*100,0)</f>
        <v>18.181818181818183</v>
      </c>
      <c r="AF3" s="1">
        <f>AVERAGE(AF5,AF7,AF9,AF11,AF13,AF15,AF17,AF19,AF21,AF23,AF25,AF27)</f>
        <v>27</v>
      </c>
      <c r="AG3" s="1">
        <f>AVERAGE(AG5,AG7,AG9,AG11,AG13,AG15,AG17,AG19,AG21,AG23,AG25,AG27)</f>
        <v>23.5</v>
      </c>
      <c r="AH3" s="1">
        <f>IFERROR(SUM(AG5,AG7,AG9,AG11,AG13,AG15,AG17,AG19,AG21,AG23,AG25,AG27)/SUM(AF5,AF7,AF9,AF11,AF13,AF15,AF17,AF19,AF21,AF23,AF25,AF27)*100,0)</f>
        <v>87.037037037037038</v>
      </c>
      <c r="AI3" s="1">
        <f>AVERAGE(AI5,AI7,AI9,AI11,AI13,AI15,AI17,AI19,AI21,AI23,AI25,AI27)</f>
        <v>6.333333333333333</v>
      </c>
    </row>
    <row r="4" spans="1:35" ht="12" customHeight="1" x14ac:dyDescent="0.15">
      <c r="A4" s="3" t="s">
        <v>152</v>
      </c>
      <c r="B4" s="2" t="s">
        <v>10</v>
      </c>
      <c r="C4" s="2" t="s">
        <v>11</v>
      </c>
      <c r="D4" s="2" t="s">
        <v>12</v>
      </c>
      <c r="E4" s="2">
        <v>94</v>
      </c>
      <c r="F4" t="s">
        <v>8</v>
      </c>
      <c r="G4" t="s">
        <v>13</v>
      </c>
      <c r="H4">
        <v>515</v>
      </c>
      <c r="I4">
        <v>417</v>
      </c>
      <c r="J4">
        <v>80.97</v>
      </c>
      <c r="K4">
        <v>184</v>
      </c>
      <c r="L4">
        <v>132</v>
      </c>
      <c r="M4">
        <v>71.739999999999995</v>
      </c>
      <c r="N4">
        <v>55</v>
      </c>
      <c r="O4">
        <v>54</v>
      </c>
      <c r="P4">
        <v>98.18</v>
      </c>
      <c r="Q4">
        <v>220</v>
      </c>
      <c r="R4">
        <v>186</v>
      </c>
      <c r="S4">
        <v>84.55</v>
      </c>
      <c r="T4">
        <v>65</v>
      </c>
      <c r="U4">
        <v>29</v>
      </c>
      <c r="V4">
        <v>44.62</v>
      </c>
      <c r="W4">
        <v>65</v>
      </c>
      <c r="X4">
        <v>38</v>
      </c>
      <c r="Y4">
        <v>58.46</v>
      </c>
      <c r="Z4">
        <v>102</v>
      </c>
      <c r="AA4">
        <v>81</v>
      </c>
      <c r="AB4">
        <v>79.41</v>
      </c>
      <c r="AC4">
        <v>0</v>
      </c>
      <c r="AD4">
        <v>0</v>
      </c>
      <c r="AE4">
        <v>0</v>
      </c>
      <c r="AF4">
        <v>17</v>
      </c>
      <c r="AG4">
        <v>15</v>
      </c>
      <c r="AH4">
        <v>88.24</v>
      </c>
      <c r="AI4">
        <v>7</v>
      </c>
    </row>
    <row r="5" spans="1:35" ht="12" customHeight="1" x14ac:dyDescent="0.15">
      <c r="A5" s="3"/>
      <c r="B5" s="2" t="s">
        <v>10</v>
      </c>
      <c r="C5" s="2" t="s">
        <v>11</v>
      </c>
      <c r="D5" s="2" t="s">
        <v>12</v>
      </c>
      <c r="E5" s="2">
        <v>94</v>
      </c>
      <c r="F5" t="s">
        <v>14</v>
      </c>
      <c r="G5" t="s">
        <v>15</v>
      </c>
      <c r="H5">
        <v>418</v>
      </c>
      <c r="I5">
        <v>310</v>
      </c>
      <c r="J5">
        <v>74.16</v>
      </c>
      <c r="K5">
        <v>171</v>
      </c>
      <c r="L5">
        <v>115</v>
      </c>
      <c r="M5">
        <v>67.25</v>
      </c>
      <c r="N5">
        <v>53</v>
      </c>
      <c r="O5">
        <v>47</v>
      </c>
      <c r="P5">
        <v>88.68</v>
      </c>
      <c r="Q5">
        <v>127</v>
      </c>
      <c r="R5">
        <v>102</v>
      </c>
      <c r="S5">
        <v>80.31</v>
      </c>
      <c r="T5">
        <v>68</v>
      </c>
      <c r="U5">
        <v>28</v>
      </c>
      <c r="V5">
        <v>41.18</v>
      </c>
      <c r="W5">
        <v>71</v>
      </c>
      <c r="X5">
        <v>38</v>
      </c>
      <c r="Y5">
        <v>53.52</v>
      </c>
      <c r="Z5">
        <v>88</v>
      </c>
      <c r="AA5">
        <v>59</v>
      </c>
      <c r="AB5">
        <v>67.05</v>
      </c>
      <c r="AC5">
        <v>0</v>
      </c>
      <c r="AD5">
        <v>0</v>
      </c>
      <c r="AE5">
        <v>0</v>
      </c>
      <c r="AF5">
        <v>26</v>
      </c>
      <c r="AG5">
        <v>23</v>
      </c>
      <c r="AH5">
        <v>88.46</v>
      </c>
      <c r="AI5">
        <v>13</v>
      </c>
    </row>
    <row r="6" spans="1:35" ht="12" customHeight="1" x14ac:dyDescent="0.15">
      <c r="A6" s="3" t="s">
        <v>153</v>
      </c>
      <c r="B6" s="2" t="s">
        <v>16</v>
      </c>
      <c r="C6" s="2" t="s">
        <v>17</v>
      </c>
      <c r="D6" s="2" t="s">
        <v>12</v>
      </c>
      <c r="E6" s="2">
        <v>96</v>
      </c>
      <c r="F6" t="s">
        <v>8</v>
      </c>
      <c r="G6" t="s">
        <v>18</v>
      </c>
      <c r="H6">
        <v>240</v>
      </c>
      <c r="I6">
        <v>152</v>
      </c>
      <c r="J6">
        <v>63.33</v>
      </c>
      <c r="K6">
        <v>123</v>
      </c>
      <c r="L6">
        <v>66</v>
      </c>
      <c r="M6">
        <v>53.66</v>
      </c>
      <c r="N6">
        <v>29</v>
      </c>
      <c r="O6">
        <v>25</v>
      </c>
      <c r="P6">
        <v>86.21</v>
      </c>
      <c r="Q6">
        <v>47</v>
      </c>
      <c r="R6">
        <v>32</v>
      </c>
      <c r="S6">
        <v>68.09</v>
      </c>
      <c r="T6">
        <v>56</v>
      </c>
      <c r="U6">
        <v>20</v>
      </c>
      <c r="V6">
        <v>35.71</v>
      </c>
      <c r="W6">
        <v>38</v>
      </c>
      <c r="X6">
        <v>15</v>
      </c>
      <c r="Y6">
        <v>39.47</v>
      </c>
      <c r="Z6">
        <v>63</v>
      </c>
      <c r="AA6">
        <v>33</v>
      </c>
      <c r="AB6">
        <v>52.38</v>
      </c>
      <c r="AC6">
        <v>1</v>
      </c>
      <c r="AD6">
        <v>0</v>
      </c>
      <c r="AE6">
        <v>0</v>
      </c>
      <c r="AF6">
        <v>18</v>
      </c>
      <c r="AG6">
        <v>14</v>
      </c>
      <c r="AH6">
        <v>77.78</v>
      </c>
      <c r="AI6">
        <v>13</v>
      </c>
    </row>
    <row r="7" spans="1:35" ht="12" customHeight="1" x14ac:dyDescent="0.15">
      <c r="A7" s="3"/>
      <c r="B7" s="2" t="s">
        <v>16</v>
      </c>
      <c r="C7" s="2" t="s">
        <v>17</v>
      </c>
      <c r="D7" s="2" t="s">
        <v>12</v>
      </c>
      <c r="E7" s="2">
        <v>96</v>
      </c>
      <c r="F7" t="s">
        <v>19</v>
      </c>
      <c r="G7" t="s">
        <v>20</v>
      </c>
      <c r="H7">
        <v>407</v>
      </c>
      <c r="I7">
        <v>316</v>
      </c>
      <c r="J7">
        <v>77.64</v>
      </c>
      <c r="K7">
        <v>142</v>
      </c>
      <c r="L7">
        <v>97</v>
      </c>
      <c r="M7">
        <v>68.31</v>
      </c>
      <c r="N7">
        <v>47</v>
      </c>
      <c r="O7">
        <v>41</v>
      </c>
      <c r="P7">
        <v>87.23</v>
      </c>
      <c r="Q7">
        <v>163</v>
      </c>
      <c r="R7">
        <v>141</v>
      </c>
      <c r="S7">
        <v>86.5</v>
      </c>
      <c r="T7">
        <v>59</v>
      </c>
      <c r="U7">
        <v>36</v>
      </c>
      <c r="V7">
        <v>61.02</v>
      </c>
      <c r="W7">
        <v>70</v>
      </c>
      <c r="X7">
        <v>35</v>
      </c>
      <c r="Y7">
        <v>50</v>
      </c>
      <c r="Z7">
        <v>89</v>
      </c>
      <c r="AA7">
        <v>68</v>
      </c>
      <c r="AB7">
        <v>76.400000000000006</v>
      </c>
      <c r="AC7">
        <v>1</v>
      </c>
      <c r="AD7">
        <v>0</v>
      </c>
      <c r="AE7">
        <v>0</v>
      </c>
      <c r="AF7">
        <v>42</v>
      </c>
      <c r="AG7">
        <v>36</v>
      </c>
      <c r="AH7">
        <v>85.71</v>
      </c>
      <c r="AI7">
        <v>5</v>
      </c>
    </row>
    <row r="8" spans="1:35" ht="12" customHeight="1" x14ac:dyDescent="0.15">
      <c r="A8" s="3" t="s">
        <v>154</v>
      </c>
      <c r="B8" s="2" t="s">
        <v>21</v>
      </c>
      <c r="C8" s="2" t="s">
        <v>22</v>
      </c>
      <c r="D8" s="2" t="s">
        <v>12</v>
      </c>
      <c r="E8" s="2">
        <v>100</v>
      </c>
      <c r="F8" t="s">
        <v>8</v>
      </c>
      <c r="G8" t="s">
        <v>13</v>
      </c>
      <c r="H8">
        <v>482</v>
      </c>
      <c r="I8">
        <v>391</v>
      </c>
      <c r="J8">
        <v>81.12</v>
      </c>
      <c r="K8">
        <v>186</v>
      </c>
      <c r="L8">
        <v>146</v>
      </c>
      <c r="M8">
        <v>78.489999999999995</v>
      </c>
      <c r="N8">
        <v>56</v>
      </c>
      <c r="O8">
        <v>55</v>
      </c>
      <c r="P8">
        <v>98.21</v>
      </c>
      <c r="Q8">
        <v>166</v>
      </c>
      <c r="R8">
        <v>135</v>
      </c>
      <c r="S8">
        <v>81.33</v>
      </c>
      <c r="T8">
        <v>62</v>
      </c>
      <c r="U8">
        <v>41</v>
      </c>
      <c r="V8">
        <v>66.13</v>
      </c>
      <c r="W8">
        <v>65</v>
      </c>
      <c r="X8">
        <v>45</v>
      </c>
      <c r="Y8">
        <v>69.23</v>
      </c>
      <c r="Z8">
        <v>92</v>
      </c>
      <c r="AA8">
        <v>69</v>
      </c>
      <c r="AB8">
        <v>75</v>
      </c>
      <c r="AC8">
        <v>0</v>
      </c>
      <c r="AD8">
        <v>0</v>
      </c>
      <c r="AE8">
        <v>0</v>
      </c>
      <c r="AF8">
        <v>25</v>
      </c>
      <c r="AG8">
        <v>22</v>
      </c>
      <c r="AH8">
        <v>88</v>
      </c>
      <c r="AI8">
        <v>6</v>
      </c>
    </row>
    <row r="9" spans="1:35" ht="12" customHeight="1" x14ac:dyDescent="0.15">
      <c r="A9" s="3"/>
      <c r="B9" s="2" t="s">
        <v>21</v>
      </c>
      <c r="C9" s="2" t="s">
        <v>22</v>
      </c>
      <c r="D9" s="2" t="s">
        <v>12</v>
      </c>
      <c r="E9" s="2">
        <v>100</v>
      </c>
      <c r="F9" t="s">
        <v>23</v>
      </c>
      <c r="G9" t="s">
        <v>20</v>
      </c>
      <c r="H9">
        <v>312</v>
      </c>
      <c r="I9">
        <v>229</v>
      </c>
      <c r="J9">
        <v>73.400000000000006</v>
      </c>
      <c r="K9">
        <v>129</v>
      </c>
      <c r="L9">
        <v>79</v>
      </c>
      <c r="M9">
        <v>61.24</v>
      </c>
      <c r="N9">
        <v>35</v>
      </c>
      <c r="O9">
        <v>30</v>
      </c>
      <c r="P9">
        <v>85.71</v>
      </c>
      <c r="Q9">
        <v>109</v>
      </c>
      <c r="R9">
        <v>91</v>
      </c>
      <c r="S9">
        <v>83.49</v>
      </c>
      <c r="T9">
        <v>64</v>
      </c>
      <c r="U9">
        <v>30</v>
      </c>
      <c r="V9">
        <v>46.88</v>
      </c>
      <c r="W9">
        <v>67</v>
      </c>
      <c r="X9">
        <v>39</v>
      </c>
      <c r="Y9">
        <v>58.21</v>
      </c>
      <c r="Z9">
        <v>74</v>
      </c>
      <c r="AA9">
        <v>46</v>
      </c>
      <c r="AB9">
        <v>62.16</v>
      </c>
      <c r="AC9">
        <v>0</v>
      </c>
      <c r="AD9">
        <v>0</v>
      </c>
      <c r="AE9">
        <v>0</v>
      </c>
      <c r="AF9">
        <v>20</v>
      </c>
      <c r="AG9">
        <v>18</v>
      </c>
      <c r="AH9">
        <v>90</v>
      </c>
      <c r="AI9">
        <v>6</v>
      </c>
    </row>
    <row r="10" spans="1:35" ht="12" customHeight="1" x14ac:dyDescent="0.15">
      <c r="A10" s="3" t="s">
        <v>155</v>
      </c>
      <c r="B10" s="2" t="s">
        <v>24</v>
      </c>
      <c r="C10" s="2" t="s">
        <v>25</v>
      </c>
      <c r="D10" s="2" t="s">
        <v>12</v>
      </c>
      <c r="E10" s="2">
        <v>97</v>
      </c>
      <c r="F10" t="s">
        <v>8</v>
      </c>
      <c r="G10" t="s">
        <v>26</v>
      </c>
      <c r="H10">
        <v>262</v>
      </c>
      <c r="I10">
        <v>175</v>
      </c>
      <c r="J10">
        <v>66.790000000000006</v>
      </c>
      <c r="K10">
        <v>121</v>
      </c>
      <c r="L10">
        <v>70</v>
      </c>
      <c r="M10">
        <v>57.85</v>
      </c>
      <c r="N10">
        <v>36</v>
      </c>
      <c r="O10">
        <v>33</v>
      </c>
      <c r="P10">
        <v>91.67</v>
      </c>
      <c r="Q10">
        <v>64</v>
      </c>
      <c r="R10">
        <v>48</v>
      </c>
      <c r="S10">
        <v>75</v>
      </c>
      <c r="T10">
        <v>48</v>
      </c>
      <c r="U10">
        <v>21</v>
      </c>
      <c r="V10">
        <v>43.75</v>
      </c>
      <c r="W10">
        <v>46</v>
      </c>
      <c r="X10">
        <v>28</v>
      </c>
      <c r="Y10">
        <v>60.87</v>
      </c>
      <c r="Z10">
        <v>61</v>
      </c>
      <c r="AA10">
        <v>37</v>
      </c>
      <c r="AB10">
        <v>60.66</v>
      </c>
      <c r="AC10">
        <v>1</v>
      </c>
      <c r="AD10">
        <v>1</v>
      </c>
      <c r="AE10">
        <v>100</v>
      </c>
      <c r="AF10">
        <v>31</v>
      </c>
      <c r="AG10">
        <v>26</v>
      </c>
      <c r="AH10">
        <v>83.87</v>
      </c>
      <c r="AI10">
        <v>7</v>
      </c>
    </row>
    <row r="11" spans="1:35" ht="12" customHeight="1" x14ac:dyDescent="0.15">
      <c r="A11" s="3"/>
      <c r="B11" s="2" t="s">
        <v>24</v>
      </c>
      <c r="C11" s="2" t="s">
        <v>25</v>
      </c>
      <c r="D11" s="2" t="s">
        <v>12</v>
      </c>
      <c r="E11" s="2">
        <v>97</v>
      </c>
      <c r="F11" t="s">
        <v>27</v>
      </c>
      <c r="G11" t="s">
        <v>28</v>
      </c>
      <c r="H11">
        <v>404</v>
      </c>
      <c r="I11">
        <v>319</v>
      </c>
      <c r="J11">
        <v>78.959999999999994</v>
      </c>
      <c r="K11">
        <v>153</v>
      </c>
      <c r="L11">
        <v>99</v>
      </c>
      <c r="M11">
        <v>64.709999999999994</v>
      </c>
      <c r="N11">
        <v>51</v>
      </c>
      <c r="O11">
        <v>48</v>
      </c>
      <c r="P11">
        <v>94.12</v>
      </c>
      <c r="Q11">
        <v>150</v>
      </c>
      <c r="R11">
        <v>131</v>
      </c>
      <c r="S11">
        <v>87.33</v>
      </c>
      <c r="T11">
        <v>57</v>
      </c>
      <c r="U11">
        <v>28</v>
      </c>
      <c r="V11">
        <v>49.12</v>
      </c>
      <c r="W11">
        <v>59</v>
      </c>
      <c r="X11">
        <v>33</v>
      </c>
      <c r="Y11">
        <v>55.93</v>
      </c>
      <c r="Z11">
        <v>72</v>
      </c>
      <c r="AA11">
        <v>51</v>
      </c>
      <c r="AB11">
        <v>70.83</v>
      </c>
      <c r="AC11">
        <v>1</v>
      </c>
      <c r="AD11">
        <v>0</v>
      </c>
      <c r="AE11">
        <v>0</v>
      </c>
      <c r="AF11">
        <v>27</v>
      </c>
      <c r="AG11">
        <v>24</v>
      </c>
      <c r="AH11">
        <v>88.89</v>
      </c>
      <c r="AI11">
        <v>4</v>
      </c>
    </row>
    <row r="12" spans="1:35" ht="12" customHeight="1" x14ac:dyDescent="0.15">
      <c r="A12" s="3" t="s">
        <v>156</v>
      </c>
      <c r="B12" s="2" t="s">
        <v>29</v>
      </c>
      <c r="C12" s="2" t="s">
        <v>30</v>
      </c>
      <c r="D12" s="2" t="s">
        <v>12</v>
      </c>
      <c r="E12" s="2">
        <v>100</v>
      </c>
      <c r="F12" t="s">
        <v>8</v>
      </c>
      <c r="G12" t="s">
        <v>31</v>
      </c>
      <c r="H12">
        <v>306</v>
      </c>
      <c r="I12">
        <v>231</v>
      </c>
      <c r="J12">
        <v>75.489999999999995</v>
      </c>
      <c r="K12">
        <v>133</v>
      </c>
      <c r="L12">
        <v>93</v>
      </c>
      <c r="M12">
        <v>69.92</v>
      </c>
      <c r="N12">
        <v>54</v>
      </c>
      <c r="O12">
        <v>48</v>
      </c>
      <c r="P12">
        <v>88.89</v>
      </c>
      <c r="Q12">
        <v>79</v>
      </c>
      <c r="R12">
        <v>63</v>
      </c>
      <c r="S12">
        <v>79.75</v>
      </c>
      <c r="T12">
        <v>58</v>
      </c>
      <c r="U12">
        <v>36</v>
      </c>
      <c r="V12">
        <v>62.07</v>
      </c>
      <c r="W12">
        <v>47</v>
      </c>
      <c r="X12">
        <v>25</v>
      </c>
      <c r="Y12">
        <v>53.19</v>
      </c>
      <c r="Z12">
        <v>82</v>
      </c>
      <c r="AA12">
        <v>62</v>
      </c>
      <c r="AB12">
        <v>75.61</v>
      </c>
      <c r="AC12">
        <v>2</v>
      </c>
      <c r="AD12">
        <v>0</v>
      </c>
      <c r="AE12">
        <v>0</v>
      </c>
      <c r="AF12">
        <v>30</v>
      </c>
      <c r="AG12">
        <v>29</v>
      </c>
      <c r="AH12">
        <v>96.67</v>
      </c>
      <c r="AI12">
        <v>8</v>
      </c>
    </row>
    <row r="13" spans="1:35" ht="12" customHeight="1" x14ac:dyDescent="0.15">
      <c r="A13" s="3"/>
      <c r="B13" s="2" t="s">
        <v>29</v>
      </c>
      <c r="C13" s="2" t="s">
        <v>30</v>
      </c>
      <c r="D13" s="2" t="s">
        <v>12</v>
      </c>
      <c r="E13" s="2">
        <v>100</v>
      </c>
      <c r="F13" t="s">
        <v>32</v>
      </c>
      <c r="G13" t="s">
        <v>33</v>
      </c>
      <c r="H13">
        <v>398</v>
      </c>
      <c r="I13">
        <v>327</v>
      </c>
      <c r="J13">
        <v>82.16</v>
      </c>
      <c r="K13">
        <v>143</v>
      </c>
      <c r="L13">
        <v>107</v>
      </c>
      <c r="M13">
        <v>74.83</v>
      </c>
      <c r="N13">
        <v>54</v>
      </c>
      <c r="O13">
        <v>48</v>
      </c>
      <c r="P13">
        <v>88.89</v>
      </c>
      <c r="Q13">
        <v>142</v>
      </c>
      <c r="R13">
        <v>125</v>
      </c>
      <c r="S13">
        <v>88.03</v>
      </c>
      <c r="T13">
        <v>48</v>
      </c>
      <c r="U13">
        <v>22</v>
      </c>
      <c r="V13">
        <v>45.83</v>
      </c>
      <c r="W13">
        <v>39</v>
      </c>
      <c r="X13">
        <v>23</v>
      </c>
      <c r="Y13">
        <v>58.97</v>
      </c>
      <c r="Z13">
        <v>64</v>
      </c>
      <c r="AA13">
        <v>48</v>
      </c>
      <c r="AB13">
        <v>75</v>
      </c>
      <c r="AC13">
        <v>1</v>
      </c>
      <c r="AD13">
        <v>1</v>
      </c>
      <c r="AE13">
        <v>100</v>
      </c>
      <c r="AF13">
        <v>19</v>
      </c>
      <c r="AG13">
        <v>17</v>
      </c>
      <c r="AH13">
        <v>89.47</v>
      </c>
      <c r="AI13">
        <v>4</v>
      </c>
    </row>
    <row r="14" spans="1:35" ht="12" customHeight="1" x14ac:dyDescent="0.15">
      <c r="A14" s="3" t="s">
        <v>157</v>
      </c>
      <c r="B14" s="2" t="s">
        <v>34</v>
      </c>
      <c r="C14" s="2" t="s">
        <v>35</v>
      </c>
      <c r="D14" s="2" t="s">
        <v>12</v>
      </c>
      <c r="E14" s="2">
        <v>101</v>
      </c>
      <c r="F14" t="s">
        <v>8</v>
      </c>
      <c r="G14" t="s">
        <v>36</v>
      </c>
      <c r="H14">
        <v>298</v>
      </c>
      <c r="I14">
        <v>197</v>
      </c>
      <c r="J14">
        <v>66.11</v>
      </c>
      <c r="K14">
        <v>135</v>
      </c>
      <c r="L14">
        <v>73</v>
      </c>
      <c r="M14">
        <v>54.07</v>
      </c>
      <c r="N14">
        <v>33</v>
      </c>
      <c r="O14">
        <v>30</v>
      </c>
      <c r="P14">
        <v>90.91</v>
      </c>
      <c r="Q14">
        <v>93</v>
      </c>
      <c r="R14">
        <v>69</v>
      </c>
      <c r="S14">
        <v>74.19</v>
      </c>
      <c r="T14">
        <v>48</v>
      </c>
      <c r="U14">
        <v>22</v>
      </c>
      <c r="V14">
        <v>45.83</v>
      </c>
      <c r="W14">
        <v>56</v>
      </c>
      <c r="X14">
        <v>27</v>
      </c>
      <c r="Y14">
        <v>48.21</v>
      </c>
      <c r="Z14">
        <v>64</v>
      </c>
      <c r="AA14">
        <v>47</v>
      </c>
      <c r="AB14">
        <v>73.44</v>
      </c>
      <c r="AC14">
        <v>0</v>
      </c>
      <c r="AD14">
        <v>0</v>
      </c>
      <c r="AE14">
        <v>0</v>
      </c>
      <c r="AF14">
        <v>27</v>
      </c>
      <c r="AG14">
        <v>25</v>
      </c>
      <c r="AH14">
        <v>92.59</v>
      </c>
      <c r="AI14">
        <v>8</v>
      </c>
    </row>
    <row r="15" spans="1:35" ht="12" customHeight="1" x14ac:dyDescent="0.15">
      <c r="A15" s="3"/>
      <c r="B15" s="2" t="s">
        <v>34</v>
      </c>
      <c r="C15" s="2" t="s">
        <v>35</v>
      </c>
      <c r="D15" s="2" t="s">
        <v>12</v>
      </c>
      <c r="E15" s="2">
        <v>101</v>
      </c>
      <c r="F15" t="s">
        <v>37</v>
      </c>
      <c r="G15" t="s">
        <v>38</v>
      </c>
      <c r="H15">
        <v>355</v>
      </c>
      <c r="I15">
        <v>247</v>
      </c>
      <c r="J15">
        <v>69.58</v>
      </c>
      <c r="K15">
        <v>158</v>
      </c>
      <c r="L15">
        <v>92</v>
      </c>
      <c r="M15">
        <v>58.23</v>
      </c>
      <c r="N15">
        <v>46</v>
      </c>
      <c r="O15">
        <v>39</v>
      </c>
      <c r="P15">
        <v>84.78</v>
      </c>
      <c r="Q15">
        <v>105</v>
      </c>
      <c r="R15">
        <v>82</v>
      </c>
      <c r="S15">
        <v>78.099999999999994</v>
      </c>
      <c r="T15">
        <v>61</v>
      </c>
      <c r="U15">
        <v>31</v>
      </c>
      <c r="V15">
        <v>50.82</v>
      </c>
      <c r="W15">
        <v>66</v>
      </c>
      <c r="X15">
        <v>36</v>
      </c>
      <c r="Y15">
        <v>54.55</v>
      </c>
      <c r="Z15">
        <v>85</v>
      </c>
      <c r="AA15">
        <v>53</v>
      </c>
      <c r="AB15">
        <v>62.35</v>
      </c>
      <c r="AC15">
        <v>0</v>
      </c>
      <c r="AD15">
        <v>0</v>
      </c>
      <c r="AE15">
        <v>0</v>
      </c>
      <c r="AF15">
        <v>29</v>
      </c>
      <c r="AG15">
        <v>25</v>
      </c>
      <c r="AH15">
        <v>86.21</v>
      </c>
      <c r="AI15">
        <v>11</v>
      </c>
    </row>
    <row r="16" spans="1:35" ht="12" customHeight="1" x14ac:dyDescent="0.15">
      <c r="A16" s="3" t="s">
        <v>158</v>
      </c>
      <c r="B16" s="2" t="s">
        <v>39</v>
      </c>
      <c r="C16" s="2" t="s">
        <v>40</v>
      </c>
      <c r="D16" s="2" t="s">
        <v>12</v>
      </c>
      <c r="E16" s="2">
        <v>98</v>
      </c>
      <c r="F16" t="s">
        <v>8</v>
      </c>
      <c r="G16" t="s">
        <v>31</v>
      </c>
      <c r="H16">
        <v>387</v>
      </c>
      <c r="I16">
        <v>314</v>
      </c>
      <c r="J16">
        <v>81.14</v>
      </c>
      <c r="K16">
        <v>143</v>
      </c>
      <c r="L16">
        <v>102</v>
      </c>
      <c r="M16">
        <v>71.33</v>
      </c>
      <c r="N16">
        <v>45</v>
      </c>
      <c r="O16">
        <v>42</v>
      </c>
      <c r="P16">
        <v>93.33</v>
      </c>
      <c r="Q16">
        <v>150</v>
      </c>
      <c r="R16">
        <v>135</v>
      </c>
      <c r="S16">
        <v>90</v>
      </c>
      <c r="T16">
        <v>43</v>
      </c>
      <c r="U16">
        <v>21</v>
      </c>
      <c r="V16">
        <v>48.84</v>
      </c>
      <c r="W16">
        <v>39</v>
      </c>
      <c r="X16">
        <v>17</v>
      </c>
      <c r="Y16">
        <v>43.59</v>
      </c>
      <c r="Z16">
        <v>62</v>
      </c>
      <c r="AA16">
        <v>39</v>
      </c>
      <c r="AB16">
        <v>62.9</v>
      </c>
      <c r="AC16">
        <v>0</v>
      </c>
      <c r="AD16">
        <v>0</v>
      </c>
      <c r="AE16">
        <v>0</v>
      </c>
      <c r="AF16">
        <v>12</v>
      </c>
      <c r="AG16">
        <v>10</v>
      </c>
      <c r="AH16">
        <v>83.33</v>
      </c>
      <c r="AI16">
        <v>8</v>
      </c>
    </row>
    <row r="17" spans="1:35" ht="12" customHeight="1" x14ac:dyDescent="0.15">
      <c r="A17" s="3"/>
      <c r="B17" s="2" t="s">
        <v>39</v>
      </c>
      <c r="C17" s="2" t="s">
        <v>40</v>
      </c>
      <c r="D17" s="2" t="s">
        <v>12</v>
      </c>
      <c r="E17" s="2">
        <v>98</v>
      </c>
      <c r="F17" t="s">
        <v>41</v>
      </c>
      <c r="G17" t="s">
        <v>42</v>
      </c>
      <c r="H17">
        <v>582</v>
      </c>
      <c r="I17">
        <v>490</v>
      </c>
      <c r="J17">
        <v>84.19</v>
      </c>
      <c r="K17">
        <v>155</v>
      </c>
      <c r="L17">
        <v>111</v>
      </c>
      <c r="M17">
        <v>71.61</v>
      </c>
      <c r="N17">
        <v>64</v>
      </c>
      <c r="O17">
        <v>61</v>
      </c>
      <c r="P17">
        <v>95.31</v>
      </c>
      <c r="Q17">
        <v>300</v>
      </c>
      <c r="R17">
        <v>267</v>
      </c>
      <c r="S17">
        <v>89</v>
      </c>
      <c r="T17">
        <v>46</v>
      </c>
      <c r="U17">
        <v>23</v>
      </c>
      <c r="V17">
        <v>50</v>
      </c>
      <c r="W17">
        <v>67</v>
      </c>
      <c r="X17">
        <v>45</v>
      </c>
      <c r="Y17">
        <v>67.16</v>
      </c>
      <c r="Z17">
        <v>66</v>
      </c>
      <c r="AA17">
        <v>44</v>
      </c>
      <c r="AB17">
        <v>66.67</v>
      </c>
      <c r="AC17">
        <v>3</v>
      </c>
      <c r="AD17">
        <v>0</v>
      </c>
      <c r="AE17">
        <v>0</v>
      </c>
      <c r="AF17">
        <v>26</v>
      </c>
      <c r="AG17">
        <v>25</v>
      </c>
      <c r="AH17">
        <v>96.15</v>
      </c>
      <c r="AI17">
        <v>0</v>
      </c>
    </row>
    <row r="18" spans="1:35" ht="12" customHeight="1" x14ac:dyDescent="0.15">
      <c r="A18" s="3" t="s">
        <v>159</v>
      </c>
      <c r="B18" s="2" t="s">
        <v>43</v>
      </c>
      <c r="C18" s="2" t="s">
        <v>44</v>
      </c>
      <c r="D18" s="2" t="s">
        <v>12</v>
      </c>
      <c r="E18" s="2">
        <v>99</v>
      </c>
      <c r="F18" t="s">
        <v>8</v>
      </c>
      <c r="G18" t="s">
        <v>28</v>
      </c>
      <c r="H18">
        <v>515</v>
      </c>
      <c r="I18">
        <v>422</v>
      </c>
      <c r="J18">
        <v>81.94</v>
      </c>
      <c r="K18">
        <v>192</v>
      </c>
      <c r="L18">
        <v>140</v>
      </c>
      <c r="M18">
        <v>72.92</v>
      </c>
      <c r="N18">
        <v>43</v>
      </c>
      <c r="O18">
        <v>41</v>
      </c>
      <c r="P18">
        <v>95.35</v>
      </c>
      <c r="Q18">
        <v>196</v>
      </c>
      <c r="R18">
        <v>171</v>
      </c>
      <c r="S18">
        <v>87.24</v>
      </c>
      <c r="T18">
        <v>74</v>
      </c>
      <c r="U18">
        <v>41</v>
      </c>
      <c r="V18">
        <v>55.41</v>
      </c>
      <c r="W18">
        <v>68</v>
      </c>
      <c r="X18">
        <v>48</v>
      </c>
      <c r="Y18">
        <v>70.59</v>
      </c>
      <c r="Z18">
        <v>92</v>
      </c>
      <c r="AA18">
        <v>72</v>
      </c>
      <c r="AB18">
        <v>78.260000000000005</v>
      </c>
      <c r="AC18">
        <v>0</v>
      </c>
      <c r="AD18">
        <v>0</v>
      </c>
      <c r="AE18">
        <v>0</v>
      </c>
      <c r="AF18">
        <v>39</v>
      </c>
      <c r="AG18">
        <v>36</v>
      </c>
      <c r="AH18">
        <v>92.31</v>
      </c>
      <c r="AI18">
        <v>3</v>
      </c>
    </row>
    <row r="19" spans="1:35" ht="12" customHeight="1" x14ac:dyDescent="0.15">
      <c r="A19" s="3"/>
      <c r="B19" s="2" t="s">
        <v>43</v>
      </c>
      <c r="C19" s="2" t="s">
        <v>44</v>
      </c>
      <c r="D19" s="2" t="s">
        <v>12</v>
      </c>
      <c r="E19" s="2">
        <v>99</v>
      </c>
      <c r="F19" t="s">
        <v>45</v>
      </c>
      <c r="G19" t="s">
        <v>31</v>
      </c>
      <c r="H19">
        <v>245</v>
      </c>
      <c r="I19">
        <v>175</v>
      </c>
      <c r="J19">
        <v>71.430000000000007</v>
      </c>
      <c r="K19">
        <v>126</v>
      </c>
      <c r="L19">
        <v>82</v>
      </c>
      <c r="M19">
        <v>65.08</v>
      </c>
      <c r="N19">
        <v>25</v>
      </c>
      <c r="O19">
        <v>24</v>
      </c>
      <c r="P19">
        <v>96</v>
      </c>
      <c r="Q19">
        <v>53</v>
      </c>
      <c r="R19">
        <v>40</v>
      </c>
      <c r="S19">
        <v>75.47</v>
      </c>
      <c r="T19">
        <v>44</v>
      </c>
      <c r="U19">
        <v>18</v>
      </c>
      <c r="V19">
        <v>40.909999999999997</v>
      </c>
      <c r="W19">
        <v>35</v>
      </c>
      <c r="X19">
        <v>18</v>
      </c>
      <c r="Y19">
        <v>51.43</v>
      </c>
      <c r="Z19">
        <v>53</v>
      </c>
      <c r="AA19">
        <v>37</v>
      </c>
      <c r="AB19">
        <v>69.81</v>
      </c>
      <c r="AC19">
        <v>1</v>
      </c>
      <c r="AD19">
        <v>0</v>
      </c>
      <c r="AE19">
        <v>0</v>
      </c>
      <c r="AF19">
        <v>31</v>
      </c>
      <c r="AG19">
        <v>23</v>
      </c>
      <c r="AH19">
        <v>74.19</v>
      </c>
      <c r="AI19">
        <v>7</v>
      </c>
    </row>
    <row r="20" spans="1:35" ht="12" customHeight="1" x14ac:dyDescent="0.15">
      <c r="A20" s="3" t="s">
        <v>160</v>
      </c>
      <c r="B20" s="2" t="s">
        <v>46</v>
      </c>
      <c r="C20" s="2" t="s">
        <v>47</v>
      </c>
      <c r="D20" s="2" t="s">
        <v>12</v>
      </c>
      <c r="E20" s="2">
        <v>93</v>
      </c>
      <c r="F20" t="s">
        <v>8</v>
      </c>
      <c r="G20" t="s">
        <v>13</v>
      </c>
      <c r="H20">
        <v>450</v>
      </c>
      <c r="I20">
        <v>343</v>
      </c>
      <c r="J20">
        <v>76.22</v>
      </c>
      <c r="K20">
        <v>158</v>
      </c>
      <c r="L20">
        <v>99</v>
      </c>
      <c r="M20">
        <v>62.66</v>
      </c>
      <c r="N20">
        <v>48</v>
      </c>
      <c r="O20">
        <v>43</v>
      </c>
      <c r="P20">
        <v>89.58</v>
      </c>
      <c r="Q20">
        <v>167</v>
      </c>
      <c r="R20">
        <v>144</v>
      </c>
      <c r="S20">
        <v>86.23</v>
      </c>
      <c r="T20">
        <v>61</v>
      </c>
      <c r="U20">
        <v>26</v>
      </c>
      <c r="V20">
        <v>42.62</v>
      </c>
      <c r="W20">
        <v>67</v>
      </c>
      <c r="X20">
        <v>35</v>
      </c>
      <c r="Y20">
        <v>52.24</v>
      </c>
      <c r="Z20">
        <v>68</v>
      </c>
      <c r="AA20">
        <v>46</v>
      </c>
      <c r="AB20">
        <v>67.650000000000006</v>
      </c>
      <c r="AC20">
        <v>1</v>
      </c>
      <c r="AD20">
        <v>1</v>
      </c>
      <c r="AE20">
        <v>100</v>
      </c>
      <c r="AF20">
        <v>29</v>
      </c>
      <c r="AG20">
        <v>26</v>
      </c>
      <c r="AH20">
        <v>89.66</v>
      </c>
      <c r="AI20">
        <v>5</v>
      </c>
    </row>
    <row r="21" spans="1:35" ht="12" customHeight="1" x14ac:dyDescent="0.15">
      <c r="A21" s="3"/>
      <c r="B21" s="2" t="s">
        <v>46</v>
      </c>
      <c r="C21" s="2" t="s">
        <v>47</v>
      </c>
      <c r="D21" s="2" t="s">
        <v>12</v>
      </c>
      <c r="E21" s="2">
        <v>93</v>
      </c>
      <c r="F21" t="s">
        <v>48</v>
      </c>
      <c r="G21" t="s">
        <v>31</v>
      </c>
      <c r="H21">
        <v>320</v>
      </c>
      <c r="I21">
        <v>217</v>
      </c>
      <c r="J21">
        <v>67.81</v>
      </c>
      <c r="K21">
        <v>143</v>
      </c>
      <c r="L21">
        <v>77</v>
      </c>
      <c r="M21">
        <v>53.85</v>
      </c>
      <c r="N21">
        <v>42</v>
      </c>
      <c r="O21">
        <v>37</v>
      </c>
      <c r="P21">
        <v>88.1</v>
      </c>
      <c r="Q21">
        <v>91</v>
      </c>
      <c r="R21">
        <v>72</v>
      </c>
      <c r="S21">
        <v>79.12</v>
      </c>
      <c r="T21">
        <v>67</v>
      </c>
      <c r="U21">
        <v>26</v>
      </c>
      <c r="V21">
        <v>38.81</v>
      </c>
      <c r="W21">
        <v>58</v>
      </c>
      <c r="X21">
        <v>28</v>
      </c>
      <c r="Y21">
        <v>48.28</v>
      </c>
      <c r="Z21">
        <v>78</v>
      </c>
      <c r="AA21">
        <v>43</v>
      </c>
      <c r="AB21">
        <v>55.13</v>
      </c>
      <c r="AC21">
        <v>0</v>
      </c>
      <c r="AD21">
        <v>0</v>
      </c>
      <c r="AE21">
        <v>0</v>
      </c>
      <c r="AF21">
        <v>31</v>
      </c>
      <c r="AG21">
        <v>25</v>
      </c>
      <c r="AH21">
        <v>80.650000000000006</v>
      </c>
      <c r="AI21">
        <v>7</v>
      </c>
    </row>
    <row r="22" spans="1:35" x14ac:dyDescent="0.15">
      <c r="A22" s="3" t="s">
        <v>149</v>
      </c>
      <c r="B22" s="2" t="s">
        <v>139</v>
      </c>
      <c r="C22" s="2" t="s">
        <v>140</v>
      </c>
      <c r="D22" s="2" t="s">
        <v>12</v>
      </c>
      <c r="E22" s="2">
        <v>92</v>
      </c>
      <c r="F22" t="s">
        <v>8</v>
      </c>
      <c r="G22" t="s">
        <v>13</v>
      </c>
      <c r="H22">
        <v>408</v>
      </c>
      <c r="I22">
        <v>325</v>
      </c>
      <c r="J22">
        <v>79.66</v>
      </c>
      <c r="K22">
        <v>140</v>
      </c>
      <c r="L22">
        <v>96</v>
      </c>
      <c r="M22">
        <v>68.569999999999993</v>
      </c>
      <c r="N22">
        <v>72</v>
      </c>
      <c r="O22">
        <v>65</v>
      </c>
      <c r="P22">
        <v>90.28</v>
      </c>
      <c r="Q22">
        <v>139</v>
      </c>
      <c r="R22">
        <v>119</v>
      </c>
      <c r="S22">
        <v>85.61</v>
      </c>
      <c r="T22">
        <v>42</v>
      </c>
      <c r="U22">
        <v>19</v>
      </c>
      <c r="V22">
        <v>45.24</v>
      </c>
      <c r="W22">
        <v>47</v>
      </c>
      <c r="X22">
        <v>25</v>
      </c>
      <c r="Y22">
        <v>53.19</v>
      </c>
      <c r="Z22">
        <v>66</v>
      </c>
      <c r="AA22">
        <v>43</v>
      </c>
      <c r="AB22">
        <v>65.150000000000006</v>
      </c>
      <c r="AC22">
        <v>2</v>
      </c>
      <c r="AD22">
        <v>0</v>
      </c>
      <c r="AE22">
        <v>0</v>
      </c>
      <c r="AF22">
        <v>18</v>
      </c>
      <c r="AG22">
        <v>15</v>
      </c>
      <c r="AH22">
        <v>83.33</v>
      </c>
      <c r="AI22">
        <v>10</v>
      </c>
    </row>
    <row r="23" spans="1:35" x14ac:dyDescent="0.15">
      <c r="A23" s="3"/>
      <c r="B23" s="2" t="s">
        <v>139</v>
      </c>
      <c r="C23" s="2" t="s">
        <v>140</v>
      </c>
      <c r="D23" s="2" t="s">
        <v>12</v>
      </c>
      <c r="E23" s="2">
        <v>92</v>
      </c>
      <c r="F23" t="s">
        <v>41</v>
      </c>
      <c r="G23" t="s">
        <v>20</v>
      </c>
      <c r="H23">
        <v>475</v>
      </c>
      <c r="I23">
        <v>400</v>
      </c>
      <c r="J23">
        <v>84.21</v>
      </c>
      <c r="K23">
        <v>177</v>
      </c>
      <c r="L23">
        <v>139</v>
      </c>
      <c r="M23">
        <v>78.53</v>
      </c>
      <c r="N23">
        <v>69</v>
      </c>
      <c r="O23">
        <v>62</v>
      </c>
      <c r="P23">
        <v>89.86</v>
      </c>
      <c r="Q23">
        <v>152</v>
      </c>
      <c r="R23">
        <v>134</v>
      </c>
      <c r="S23">
        <v>88.16</v>
      </c>
      <c r="T23">
        <v>32</v>
      </c>
      <c r="U23">
        <v>19</v>
      </c>
      <c r="V23">
        <v>59.38</v>
      </c>
      <c r="W23">
        <v>54</v>
      </c>
      <c r="X23">
        <v>36</v>
      </c>
      <c r="Y23">
        <v>66.67</v>
      </c>
      <c r="Z23">
        <v>72</v>
      </c>
      <c r="AA23">
        <v>52</v>
      </c>
      <c r="AB23">
        <v>72.22</v>
      </c>
      <c r="AC23">
        <v>1</v>
      </c>
      <c r="AD23">
        <v>1</v>
      </c>
      <c r="AE23">
        <v>100</v>
      </c>
      <c r="AF23">
        <v>23</v>
      </c>
      <c r="AG23">
        <v>23</v>
      </c>
      <c r="AH23">
        <v>100</v>
      </c>
      <c r="AI23">
        <v>6</v>
      </c>
    </row>
    <row r="24" spans="1:35" x14ac:dyDescent="0.15">
      <c r="A24" s="3" t="s">
        <v>150</v>
      </c>
      <c r="B24" s="2" t="s">
        <v>141</v>
      </c>
      <c r="C24" s="2" t="s">
        <v>142</v>
      </c>
      <c r="D24" s="2" t="s">
        <v>12</v>
      </c>
      <c r="E24" s="2">
        <v>96</v>
      </c>
      <c r="F24" t="s">
        <v>8</v>
      </c>
      <c r="G24" t="s">
        <v>143</v>
      </c>
      <c r="H24">
        <v>360</v>
      </c>
      <c r="I24">
        <v>276</v>
      </c>
      <c r="J24">
        <v>76.67</v>
      </c>
      <c r="K24">
        <v>147</v>
      </c>
      <c r="L24">
        <v>101</v>
      </c>
      <c r="M24">
        <v>68.709999999999994</v>
      </c>
      <c r="N24">
        <v>53</v>
      </c>
      <c r="O24">
        <v>47</v>
      </c>
      <c r="P24">
        <v>88.68</v>
      </c>
      <c r="Q24">
        <v>100</v>
      </c>
      <c r="R24">
        <v>79</v>
      </c>
      <c r="S24">
        <v>79</v>
      </c>
      <c r="T24">
        <v>48</v>
      </c>
      <c r="U24">
        <v>28</v>
      </c>
      <c r="V24">
        <v>58.33</v>
      </c>
      <c r="W24">
        <v>36</v>
      </c>
      <c r="X24">
        <v>20</v>
      </c>
      <c r="Y24">
        <v>55.56</v>
      </c>
      <c r="Z24">
        <v>73</v>
      </c>
      <c r="AA24">
        <v>46</v>
      </c>
      <c r="AB24">
        <v>63.01</v>
      </c>
      <c r="AC24">
        <v>0</v>
      </c>
      <c r="AD24">
        <v>0</v>
      </c>
      <c r="AE24">
        <v>0</v>
      </c>
      <c r="AF24">
        <v>23</v>
      </c>
      <c r="AG24">
        <v>20</v>
      </c>
      <c r="AH24">
        <v>86.96</v>
      </c>
      <c r="AI24">
        <v>11</v>
      </c>
    </row>
    <row r="25" spans="1:35" x14ac:dyDescent="0.15">
      <c r="A25" s="3"/>
      <c r="B25" s="2" t="s">
        <v>141</v>
      </c>
      <c r="C25" s="2" t="s">
        <v>142</v>
      </c>
      <c r="D25" s="2" t="s">
        <v>12</v>
      </c>
      <c r="E25" s="2">
        <v>96</v>
      </c>
      <c r="F25" t="s">
        <v>144</v>
      </c>
      <c r="G25" t="s">
        <v>145</v>
      </c>
      <c r="H25">
        <v>339</v>
      </c>
      <c r="I25">
        <v>280</v>
      </c>
      <c r="J25">
        <v>82.6</v>
      </c>
      <c r="K25">
        <v>122</v>
      </c>
      <c r="L25">
        <v>91</v>
      </c>
      <c r="M25">
        <v>74.59</v>
      </c>
      <c r="N25">
        <v>54</v>
      </c>
      <c r="O25">
        <v>52</v>
      </c>
      <c r="P25">
        <v>96.3</v>
      </c>
      <c r="Q25">
        <v>115</v>
      </c>
      <c r="R25">
        <v>101</v>
      </c>
      <c r="S25">
        <v>87.83</v>
      </c>
      <c r="T25">
        <v>37</v>
      </c>
      <c r="U25">
        <v>23</v>
      </c>
      <c r="V25">
        <v>62.16</v>
      </c>
      <c r="W25">
        <v>46</v>
      </c>
      <c r="X25">
        <v>36</v>
      </c>
      <c r="Y25">
        <v>78.260000000000005</v>
      </c>
      <c r="Z25">
        <v>63</v>
      </c>
      <c r="AA25">
        <v>46</v>
      </c>
      <c r="AB25">
        <v>73.02</v>
      </c>
      <c r="AC25">
        <v>2</v>
      </c>
      <c r="AD25">
        <v>0</v>
      </c>
      <c r="AE25">
        <v>0</v>
      </c>
      <c r="AF25">
        <v>18</v>
      </c>
      <c r="AG25">
        <v>16</v>
      </c>
      <c r="AH25">
        <v>88.89</v>
      </c>
      <c r="AI25">
        <v>9</v>
      </c>
    </row>
    <row r="26" spans="1:35" x14ac:dyDescent="0.15">
      <c r="A26" s="3" t="s">
        <v>151</v>
      </c>
      <c r="B26" s="2" t="s">
        <v>146</v>
      </c>
      <c r="C26" s="2" t="s">
        <v>147</v>
      </c>
      <c r="D26" s="2" t="s">
        <v>12</v>
      </c>
      <c r="E26" s="2">
        <v>100</v>
      </c>
      <c r="F26" t="s">
        <v>8</v>
      </c>
      <c r="G26" t="s">
        <v>28</v>
      </c>
      <c r="H26">
        <v>281</v>
      </c>
      <c r="I26">
        <v>201</v>
      </c>
      <c r="J26">
        <v>71.53</v>
      </c>
      <c r="K26">
        <v>130</v>
      </c>
      <c r="L26">
        <v>84</v>
      </c>
      <c r="M26">
        <v>64.62</v>
      </c>
      <c r="N26">
        <v>33</v>
      </c>
      <c r="O26">
        <v>29</v>
      </c>
      <c r="P26">
        <v>87.88</v>
      </c>
      <c r="Q26">
        <v>79</v>
      </c>
      <c r="R26">
        <v>62</v>
      </c>
      <c r="S26">
        <v>78.48</v>
      </c>
      <c r="T26">
        <v>50</v>
      </c>
      <c r="U26">
        <v>21</v>
      </c>
      <c r="V26">
        <v>42</v>
      </c>
      <c r="W26">
        <v>42</v>
      </c>
      <c r="X26">
        <v>22</v>
      </c>
      <c r="Y26">
        <v>52.38</v>
      </c>
      <c r="Z26">
        <v>52</v>
      </c>
      <c r="AA26">
        <v>33</v>
      </c>
      <c r="AB26">
        <v>63.46</v>
      </c>
      <c r="AC26">
        <v>0</v>
      </c>
      <c r="AD26">
        <v>0</v>
      </c>
      <c r="AE26">
        <v>0</v>
      </c>
      <c r="AF26">
        <v>26</v>
      </c>
      <c r="AG26">
        <v>20</v>
      </c>
      <c r="AH26">
        <v>76.92</v>
      </c>
      <c r="AI26">
        <v>9</v>
      </c>
    </row>
    <row r="27" spans="1:35" x14ac:dyDescent="0.15">
      <c r="A27" s="3"/>
      <c r="B27" s="2" t="s">
        <v>146</v>
      </c>
      <c r="C27" s="2" t="s">
        <v>147</v>
      </c>
      <c r="D27" s="2" t="s">
        <v>12</v>
      </c>
      <c r="E27" s="2">
        <v>100</v>
      </c>
      <c r="F27" t="s">
        <v>148</v>
      </c>
      <c r="G27" t="s">
        <v>36</v>
      </c>
      <c r="H27">
        <v>434</v>
      </c>
      <c r="I27">
        <v>348</v>
      </c>
      <c r="J27">
        <v>80.180000000000007</v>
      </c>
      <c r="K27">
        <v>170</v>
      </c>
      <c r="L27">
        <v>111</v>
      </c>
      <c r="M27">
        <v>65.290000000000006</v>
      </c>
      <c r="N27">
        <v>68</v>
      </c>
      <c r="O27">
        <v>64</v>
      </c>
      <c r="P27">
        <v>94.12</v>
      </c>
      <c r="Q27">
        <v>124</v>
      </c>
      <c r="R27">
        <v>113</v>
      </c>
      <c r="S27">
        <v>91.13</v>
      </c>
      <c r="T27">
        <v>75</v>
      </c>
      <c r="U27">
        <v>40</v>
      </c>
      <c r="V27">
        <v>53.33</v>
      </c>
      <c r="W27">
        <v>51</v>
      </c>
      <c r="X27">
        <v>26</v>
      </c>
      <c r="Y27">
        <v>50.98</v>
      </c>
      <c r="Z27">
        <v>83</v>
      </c>
      <c r="AA27">
        <v>62</v>
      </c>
      <c r="AB27">
        <v>74.7</v>
      </c>
      <c r="AC27">
        <v>1</v>
      </c>
      <c r="AD27">
        <v>0</v>
      </c>
      <c r="AE27">
        <v>0</v>
      </c>
      <c r="AF27">
        <v>32</v>
      </c>
      <c r="AG27">
        <v>27</v>
      </c>
      <c r="AH27">
        <v>84.38</v>
      </c>
      <c r="AI27">
        <v>4</v>
      </c>
    </row>
  </sheetData>
  <mergeCells count="60">
    <mergeCell ref="B26:B27"/>
    <mergeCell ref="C26:C27"/>
    <mergeCell ref="D26:D27"/>
    <mergeCell ref="E26:E27"/>
    <mergeCell ref="D22:D23"/>
    <mergeCell ref="E22:E23"/>
    <mergeCell ref="B24:B25"/>
    <mergeCell ref="C24:C25"/>
    <mergeCell ref="D24:D25"/>
    <mergeCell ref="E24:E25"/>
    <mergeCell ref="A24:A25"/>
    <mergeCell ref="A26:A27"/>
    <mergeCell ref="A4:A5"/>
    <mergeCell ref="C4:C5"/>
    <mergeCell ref="D4:D5"/>
    <mergeCell ref="E4:E5"/>
    <mergeCell ref="A22:A23"/>
    <mergeCell ref="B4:B5"/>
    <mergeCell ref="B6:B7"/>
    <mergeCell ref="B8:B9"/>
    <mergeCell ref="B10:B11"/>
    <mergeCell ref="B12:B13"/>
    <mergeCell ref="B14:B15"/>
    <mergeCell ref="B16:B17"/>
    <mergeCell ref="B18:B19"/>
    <mergeCell ref="B20:B21"/>
    <mergeCell ref="B22:B23"/>
    <mergeCell ref="C22:C23"/>
    <mergeCell ref="A6:A7"/>
    <mergeCell ref="C6:C7"/>
    <mergeCell ref="D6:D7"/>
    <mergeCell ref="E6:E7"/>
    <mergeCell ref="A8:A9"/>
    <mergeCell ref="C8:C9"/>
    <mergeCell ref="D8:D9"/>
    <mergeCell ref="E8:E9"/>
    <mergeCell ref="A10:A11"/>
    <mergeCell ref="C10:C11"/>
    <mergeCell ref="D10:D11"/>
    <mergeCell ref="E10:E11"/>
    <mergeCell ref="A12:A13"/>
    <mergeCell ref="C12:C13"/>
    <mergeCell ref="D12:D13"/>
    <mergeCell ref="E12:E13"/>
    <mergeCell ref="A14:A15"/>
    <mergeCell ref="C14:C15"/>
    <mergeCell ref="D14:D15"/>
    <mergeCell ref="E14:E15"/>
    <mergeCell ref="A16:A17"/>
    <mergeCell ref="C16:C17"/>
    <mergeCell ref="D16:D17"/>
    <mergeCell ref="E16:E17"/>
    <mergeCell ref="A18:A19"/>
    <mergeCell ref="C18:C19"/>
    <mergeCell ref="D18:D19"/>
    <mergeCell ref="E18:E19"/>
    <mergeCell ref="A20:A21"/>
    <mergeCell ref="C20:C21"/>
    <mergeCell ref="D20:D21"/>
    <mergeCell ref="E20:E2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96F1B-17D7-5345-9636-218FFBFE2EB0}">
  <dimension ref="A1:M27"/>
  <sheetViews>
    <sheetView showOutlineSymbols="0" showWhiteSpace="0" workbookViewId="0">
      <selection activeCell="H2" sqref="H2:M3"/>
    </sheetView>
  </sheetViews>
  <sheetFormatPr baseColWidth="10" defaultColWidth="8.83203125" defaultRowHeight="14" x14ac:dyDescent="0.15"/>
  <cols>
    <col min="1" max="1" width="10.83203125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105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62</v>
      </c>
      <c r="I1" t="s">
        <v>61</v>
      </c>
      <c r="J1" t="s">
        <v>60</v>
      </c>
      <c r="K1" t="s">
        <v>59</v>
      </c>
      <c r="L1" t="s">
        <v>58</v>
      </c>
      <c r="M1" t="s">
        <v>57</v>
      </c>
    </row>
    <row r="2" spans="1:13" x14ac:dyDescent="0.15">
      <c r="B2" s="1"/>
      <c r="C2" s="1"/>
      <c r="D2" s="1"/>
      <c r="E2" s="1"/>
      <c r="F2" s="1"/>
      <c r="G2" s="1"/>
      <c r="H2" s="1">
        <f t="shared" ref="H2:M3" si="0">AVERAGE(H4,H6,H8,H10,H12,H14,H16,H18,H20,H22,H24,H26)</f>
        <v>16.165000000000003</v>
      </c>
      <c r="I2" s="1">
        <f t="shared" si="0"/>
        <v>3.2941666666666669</v>
      </c>
      <c r="J2" s="1">
        <f t="shared" si="0"/>
        <v>15.219999999999999</v>
      </c>
      <c r="K2" s="1">
        <f t="shared" si="0"/>
        <v>10.69</v>
      </c>
      <c r="L2" s="1">
        <f t="shared" si="0"/>
        <v>16.077500000000001</v>
      </c>
      <c r="M2" s="1">
        <f t="shared" si="0"/>
        <v>20.124999999999996</v>
      </c>
    </row>
    <row r="3" spans="1:13" x14ac:dyDescent="0.15">
      <c r="B3" s="1"/>
      <c r="C3" s="1"/>
      <c r="D3" s="1"/>
      <c r="E3" s="1"/>
      <c r="F3" s="1"/>
      <c r="G3" s="1"/>
      <c r="H3" s="1">
        <f t="shared" si="0"/>
        <v>14.7425</v>
      </c>
      <c r="I3" s="1">
        <f t="shared" si="0"/>
        <v>3.3841666666666668</v>
      </c>
      <c r="J3" s="1">
        <f t="shared" si="0"/>
        <v>14.696666666666667</v>
      </c>
      <c r="K3" s="1">
        <f t="shared" si="0"/>
        <v>10.5625</v>
      </c>
      <c r="L3" s="1">
        <f t="shared" si="0"/>
        <v>19.921666666666667</v>
      </c>
      <c r="M3" s="1">
        <f t="shared" si="0"/>
        <v>20.419999999999998</v>
      </c>
    </row>
    <row r="4" spans="1:13" ht="12" customHeight="1" x14ac:dyDescent="0.15">
      <c r="A4" s="3" t="s">
        <v>152</v>
      </c>
      <c r="B4" s="2" t="s">
        <v>10</v>
      </c>
      <c r="C4" s="2" t="s">
        <v>11</v>
      </c>
      <c r="D4" s="2" t="s">
        <v>12</v>
      </c>
      <c r="E4" s="2">
        <v>94</v>
      </c>
      <c r="F4" t="s">
        <v>8</v>
      </c>
      <c r="G4" t="s">
        <v>13</v>
      </c>
      <c r="H4">
        <v>16.399999999999999</v>
      </c>
      <c r="I4">
        <v>4.3600000000000003</v>
      </c>
      <c r="J4">
        <v>12.62</v>
      </c>
      <c r="K4">
        <v>10.29</v>
      </c>
      <c r="L4">
        <v>12.19</v>
      </c>
      <c r="M4">
        <v>21.18</v>
      </c>
    </row>
    <row r="5" spans="1:13" ht="12" customHeight="1" x14ac:dyDescent="0.15">
      <c r="A5" s="3"/>
      <c r="B5" s="2" t="s">
        <v>10</v>
      </c>
      <c r="C5" s="2" t="s">
        <v>11</v>
      </c>
      <c r="D5" s="2" t="s">
        <v>12</v>
      </c>
      <c r="E5" s="2">
        <v>94</v>
      </c>
      <c r="F5" t="s">
        <v>14</v>
      </c>
      <c r="G5" t="s">
        <v>15</v>
      </c>
      <c r="H5">
        <v>16.93</v>
      </c>
      <c r="I5">
        <v>3.73</v>
      </c>
      <c r="J5">
        <v>16.27</v>
      </c>
      <c r="K5">
        <v>18.600000000000001</v>
      </c>
      <c r="L5">
        <v>26.22</v>
      </c>
      <c r="M5">
        <v>19.84</v>
      </c>
    </row>
    <row r="6" spans="1:13" ht="12" customHeight="1" x14ac:dyDescent="0.15">
      <c r="A6" s="3" t="s">
        <v>153</v>
      </c>
      <c r="B6" s="2" t="s">
        <v>16</v>
      </c>
      <c r="C6" s="2" t="s">
        <v>17</v>
      </c>
      <c r="D6" s="2" t="s">
        <v>12</v>
      </c>
      <c r="E6" s="2">
        <v>96</v>
      </c>
      <c r="F6" t="s">
        <v>8</v>
      </c>
      <c r="G6" t="s">
        <v>18</v>
      </c>
      <c r="H6">
        <v>15.72</v>
      </c>
      <c r="I6">
        <v>2.0299999999999998</v>
      </c>
      <c r="J6">
        <v>23.33</v>
      </c>
      <c r="K6">
        <v>9.25</v>
      </c>
      <c r="L6">
        <v>14.13</v>
      </c>
      <c r="M6">
        <v>19.47</v>
      </c>
    </row>
    <row r="7" spans="1:13" ht="12" customHeight="1" x14ac:dyDescent="0.15">
      <c r="A7" s="3"/>
      <c r="B7" s="2" t="s">
        <v>16</v>
      </c>
      <c r="C7" s="2" t="s">
        <v>17</v>
      </c>
      <c r="D7" s="2" t="s">
        <v>12</v>
      </c>
      <c r="E7" s="2">
        <v>96</v>
      </c>
      <c r="F7" t="s">
        <v>19</v>
      </c>
      <c r="G7" t="s">
        <v>20</v>
      </c>
      <c r="H7">
        <v>14.48</v>
      </c>
      <c r="I7">
        <v>3.23</v>
      </c>
      <c r="J7">
        <v>14.5</v>
      </c>
      <c r="K7">
        <v>3.48</v>
      </c>
      <c r="L7">
        <v>16.63</v>
      </c>
      <c r="M7">
        <v>21.46</v>
      </c>
    </row>
    <row r="8" spans="1:13" ht="12" customHeight="1" x14ac:dyDescent="0.15">
      <c r="A8" s="3" t="s">
        <v>154</v>
      </c>
      <c r="B8" s="2" t="s">
        <v>21</v>
      </c>
      <c r="C8" s="2" t="s">
        <v>22</v>
      </c>
      <c r="D8" s="2" t="s">
        <v>12</v>
      </c>
      <c r="E8" s="2">
        <v>100</v>
      </c>
      <c r="F8" t="s">
        <v>8</v>
      </c>
      <c r="G8" t="s">
        <v>13</v>
      </c>
      <c r="H8">
        <v>16.940000000000001</v>
      </c>
      <c r="I8">
        <v>4.3</v>
      </c>
      <c r="J8">
        <v>12.86</v>
      </c>
      <c r="K8">
        <v>7.86</v>
      </c>
      <c r="L8">
        <v>16.28</v>
      </c>
      <c r="M8">
        <v>20.29</v>
      </c>
    </row>
    <row r="9" spans="1:13" ht="12" customHeight="1" x14ac:dyDescent="0.15">
      <c r="A9" s="3"/>
      <c r="B9" s="2" t="s">
        <v>21</v>
      </c>
      <c r="C9" s="2" t="s">
        <v>22</v>
      </c>
      <c r="D9" s="2" t="s">
        <v>12</v>
      </c>
      <c r="E9" s="2">
        <v>100</v>
      </c>
      <c r="F9" t="s">
        <v>23</v>
      </c>
      <c r="G9" t="s">
        <v>20</v>
      </c>
      <c r="H9">
        <v>13.51</v>
      </c>
      <c r="I9">
        <v>2.71</v>
      </c>
      <c r="J9">
        <v>20.51</v>
      </c>
      <c r="K9">
        <v>11.69</v>
      </c>
      <c r="L9">
        <v>17.68</v>
      </c>
      <c r="M9">
        <v>21.57</v>
      </c>
    </row>
    <row r="10" spans="1:13" ht="12" customHeight="1" x14ac:dyDescent="0.15">
      <c r="A10" s="3" t="s">
        <v>155</v>
      </c>
      <c r="B10" s="2" t="s">
        <v>24</v>
      </c>
      <c r="C10" s="2" t="s">
        <v>25</v>
      </c>
      <c r="D10" s="2" t="s">
        <v>12</v>
      </c>
      <c r="E10" s="2">
        <v>97</v>
      </c>
      <c r="F10" t="s">
        <v>8</v>
      </c>
      <c r="G10" t="s">
        <v>26</v>
      </c>
      <c r="H10">
        <v>14.99</v>
      </c>
      <c r="I10">
        <v>2.2400000000000002</v>
      </c>
      <c r="J10">
        <v>18.32</v>
      </c>
      <c r="K10">
        <v>9.33</v>
      </c>
      <c r="L10">
        <v>11.68</v>
      </c>
      <c r="M10">
        <v>19.57</v>
      </c>
    </row>
    <row r="11" spans="1:13" ht="12" customHeight="1" x14ac:dyDescent="0.15">
      <c r="A11" s="3"/>
      <c r="B11" s="2" t="s">
        <v>24</v>
      </c>
      <c r="C11" s="2" t="s">
        <v>25</v>
      </c>
      <c r="D11" s="2" t="s">
        <v>12</v>
      </c>
      <c r="E11" s="2">
        <v>97</v>
      </c>
      <c r="F11" t="s">
        <v>27</v>
      </c>
      <c r="G11" t="s">
        <v>28</v>
      </c>
      <c r="H11">
        <v>13.81</v>
      </c>
      <c r="I11">
        <v>3.34</v>
      </c>
      <c r="J11">
        <v>14.11</v>
      </c>
      <c r="K11">
        <v>7.91</v>
      </c>
      <c r="L11">
        <v>18.29</v>
      </c>
      <c r="M11">
        <v>20.46</v>
      </c>
    </row>
    <row r="12" spans="1:13" ht="12" customHeight="1" x14ac:dyDescent="0.15">
      <c r="A12" s="3" t="s">
        <v>156</v>
      </c>
      <c r="B12" s="2" t="s">
        <v>29</v>
      </c>
      <c r="C12" s="2" t="s">
        <v>30</v>
      </c>
      <c r="D12" s="2" t="s">
        <v>12</v>
      </c>
      <c r="E12" s="2">
        <v>100</v>
      </c>
      <c r="F12" t="s">
        <v>8</v>
      </c>
      <c r="G12" t="s">
        <v>31</v>
      </c>
      <c r="H12">
        <v>15.48</v>
      </c>
      <c r="I12">
        <v>2.57</v>
      </c>
      <c r="J12">
        <v>18.95</v>
      </c>
      <c r="K12">
        <v>11.81</v>
      </c>
      <c r="L12">
        <v>21.9</v>
      </c>
      <c r="M12">
        <v>20.81</v>
      </c>
    </row>
    <row r="13" spans="1:13" ht="12" customHeight="1" x14ac:dyDescent="0.15">
      <c r="A13" s="3"/>
      <c r="B13" s="2" t="s">
        <v>29</v>
      </c>
      <c r="C13" s="2" t="s">
        <v>30</v>
      </c>
      <c r="D13" s="2" t="s">
        <v>12</v>
      </c>
      <c r="E13" s="2">
        <v>100</v>
      </c>
      <c r="F13" t="s">
        <v>32</v>
      </c>
      <c r="G13" t="s">
        <v>33</v>
      </c>
      <c r="H13">
        <v>14.12</v>
      </c>
      <c r="I13">
        <v>3.59</v>
      </c>
      <c r="J13">
        <v>12.06</v>
      </c>
      <c r="K13">
        <v>7.24</v>
      </c>
      <c r="L13">
        <v>24.06</v>
      </c>
      <c r="M13">
        <v>20.53</v>
      </c>
    </row>
    <row r="14" spans="1:13" ht="12" customHeight="1" x14ac:dyDescent="0.15">
      <c r="A14" s="3" t="s">
        <v>157</v>
      </c>
      <c r="B14" s="2" t="s">
        <v>34</v>
      </c>
      <c r="C14" s="2" t="s">
        <v>35</v>
      </c>
      <c r="D14" s="2" t="s">
        <v>12</v>
      </c>
      <c r="E14" s="2">
        <v>101</v>
      </c>
      <c r="F14" t="s">
        <v>8</v>
      </c>
      <c r="G14" t="s">
        <v>36</v>
      </c>
      <c r="H14">
        <v>15.96</v>
      </c>
      <c r="I14">
        <v>2.44</v>
      </c>
      <c r="J14">
        <v>16.11</v>
      </c>
      <c r="K14">
        <v>11.43</v>
      </c>
      <c r="L14">
        <v>16.09</v>
      </c>
      <c r="M14">
        <v>22.09</v>
      </c>
    </row>
    <row r="15" spans="1:13" ht="12" customHeight="1" x14ac:dyDescent="0.15">
      <c r="A15" s="3"/>
      <c r="B15" s="2" t="s">
        <v>34</v>
      </c>
      <c r="C15" s="2" t="s">
        <v>35</v>
      </c>
      <c r="D15" s="2" t="s">
        <v>12</v>
      </c>
      <c r="E15" s="2">
        <v>101</v>
      </c>
      <c r="F15" t="s">
        <v>37</v>
      </c>
      <c r="G15" t="s">
        <v>38</v>
      </c>
      <c r="H15">
        <v>14.81</v>
      </c>
      <c r="I15">
        <v>2.71</v>
      </c>
      <c r="J15">
        <v>17.18</v>
      </c>
      <c r="K15">
        <v>7.3</v>
      </c>
      <c r="L15">
        <v>16.829999999999998</v>
      </c>
      <c r="M15">
        <v>21.82</v>
      </c>
    </row>
    <row r="16" spans="1:13" ht="12" customHeight="1" x14ac:dyDescent="0.15">
      <c r="A16" s="3" t="s">
        <v>158</v>
      </c>
      <c r="B16" s="2" t="s">
        <v>39</v>
      </c>
      <c r="C16" s="2" t="s">
        <v>40</v>
      </c>
      <c r="D16" s="2" t="s">
        <v>12</v>
      </c>
      <c r="E16" s="2">
        <v>98</v>
      </c>
      <c r="F16" t="s">
        <v>8</v>
      </c>
      <c r="G16" t="s">
        <v>31</v>
      </c>
      <c r="H16">
        <v>17.12</v>
      </c>
      <c r="I16">
        <v>4.45</v>
      </c>
      <c r="J16">
        <v>11.11</v>
      </c>
      <c r="K16">
        <v>24.21</v>
      </c>
      <c r="L16">
        <v>18.38</v>
      </c>
      <c r="M16">
        <v>19.600000000000001</v>
      </c>
    </row>
    <row r="17" spans="1:13" ht="12" customHeight="1" x14ac:dyDescent="0.15">
      <c r="A17" s="3"/>
      <c r="B17" s="2" t="s">
        <v>39</v>
      </c>
      <c r="C17" s="2" t="s">
        <v>40</v>
      </c>
      <c r="D17" s="2" t="s">
        <v>12</v>
      </c>
      <c r="E17" s="2">
        <v>98</v>
      </c>
      <c r="F17" t="s">
        <v>41</v>
      </c>
      <c r="G17" t="s">
        <v>42</v>
      </c>
      <c r="H17">
        <v>15.25</v>
      </c>
      <c r="I17">
        <v>5.65</v>
      </c>
      <c r="J17">
        <v>7.9</v>
      </c>
      <c r="K17">
        <v>11.38</v>
      </c>
      <c r="L17">
        <v>20.5</v>
      </c>
      <c r="M17">
        <v>19.239999999999998</v>
      </c>
    </row>
    <row r="18" spans="1:13" ht="12" customHeight="1" x14ac:dyDescent="0.15">
      <c r="A18" s="3" t="s">
        <v>159</v>
      </c>
      <c r="B18" s="2" t="s">
        <v>43</v>
      </c>
      <c r="C18" t="s">
        <v>44</v>
      </c>
      <c r="D18" s="2" t="s">
        <v>12</v>
      </c>
      <c r="E18" s="2">
        <v>99</v>
      </c>
      <c r="F18" t="s">
        <v>8</v>
      </c>
      <c r="G18" t="s">
        <v>28</v>
      </c>
      <c r="H18">
        <v>16.649999999999999</v>
      </c>
      <c r="I18">
        <v>3.84</v>
      </c>
      <c r="J18">
        <v>14.37</v>
      </c>
      <c r="K18">
        <v>7.73</v>
      </c>
      <c r="L18">
        <v>21.31</v>
      </c>
      <c r="M18">
        <v>20.51</v>
      </c>
    </row>
    <row r="19" spans="1:13" ht="12" customHeight="1" x14ac:dyDescent="0.15">
      <c r="A19" s="3"/>
      <c r="B19" s="2" t="s">
        <v>43</v>
      </c>
      <c r="C19" t="s">
        <v>44</v>
      </c>
      <c r="D19" s="2" t="s">
        <v>12</v>
      </c>
      <c r="E19" s="2">
        <v>99</v>
      </c>
      <c r="F19" t="s">
        <v>45</v>
      </c>
      <c r="G19" t="s">
        <v>31</v>
      </c>
      <c r="H19">
        <v>12.64</v>
      </c>
      <c r="I19">
        <v>1.91</v>
      </c>
      <c r="J19">
        <v>17.96</v>
      </c>
      <c r="K19">
        <v>13.31</v>
      </c>
      <c r="L19">
        <v>18.649999999999999</v>
      </c>
      <c r="M19">
        <v>21.14</v>
      </c>
    </row>
    <row r="20" spans="1:13" ht="12" customHeight="1" x14ac:dyDescent="0.15">
      <c r="A20" s="3" t="s">
        <v>160</v>
      </c>
      <c r="B20" s="2" t="s">
        <v>46</v>
      </c>
      <c r="C20" s="2" t="s">
        <v>47</v>
      </c>
      <c r="D20" s="2" t="s">
        <v>12</v>
      </c>
      <c r="E20" s="2">
        <v>93</v>
      </c>
      <c r="F20" t="s">
        <v>8</v>
      </c>
      <c r="G20" t="s">
        <v>13</v>
      </c>
      <c r="H20">
        <v>17.55</v>
      </c>
      <c r="I20">
        <v>3.75</v>
      </c>
      <c r="J20">
        <v>13.56</v>
      </c>
      <c r="K20">
        <v>6.83</v>
      </c>
      <c r="L20">
        <v>16.5</v>
      </c>
      <c r="M20">
        <v>18.97</v>
      </c>
    </row>
    <row r="21" spans="1:13" ht="12" customHeight="1" x14ac:dyDescent="0.15">
      <c r="A21" s="3"/>
      <c r="B21" s="2" t="s">
        <v>46</v>
      </c>
      <c r="C21" s="2" t="s">
        <v>47</v>
      </c>
      <c r="D21" s="2" t="s">
        <v>12</v>
      </c>
      <c r="E21" s="2">
        <v>93</v>
      </c>
      <c r="F21" t="s">
        <v>48</v>
      </c>
      <c r="G21" t="s">
        <v>31</v>
      </c>
      <c r="H21">
        <v>13.9</v>
      </c>
      <c r="I21">
        <v>2.64</v>
      </c>
      <c r="J21">
        <v>20.94</v>
      </c>
      <c r="K21">
        <v>10.93</v>
      </c>
      <c r="L21">
        <v>20.21</v>
      </c>
      <c r="M21">
        <v>21.45</v>
      </c>
    </row>
    <row r="22" spans="1:13" x14ac:dyDescent="0.15">
      <c r="A22" s="3" t="s">
        <v>149</v>
      </c>
      <c r="B22" s="2" t="s">
        <v>139</v>
      </c>
      <c r="C22" s="2" t="s">
        <v>140</v>
      </c>
      <c r="D22" s="2" t="s">
        <v>12</v>
      </c>
      <c r="E22" s="2">
        <v>92</v>
      </c>
      <c r="F22" t="s">
        <v>8</v>
      </c>
      <c r="G22" t="s">
        <v>13</v>
      </c>
      <c r="H22">
        <v>18.32</v>
      </c>
      <c r="I22">
        <v>3.92</v>
      </c>
      <c r="J22">
        <v>10.29</v>
      </c>
      <c r="K22">
        <v>14.79</v>
      </c>
      <c r="L22">
        <v>12.64</v>
      </c>
      <c r="M22">
        <v>19.690000000000001</v>
      </c>
    </row>
    <row r="23" spans="1:13" x14ac:dyDescent="0.15">
      <c r="A23" s="3"/>
      <c r="B23" s="2" t="s">
        <v>139</v>
      </c>
      <c r="C23" s="2" t="s">
        <v>140</v>
      </c>
      <c r="D23" s="2" t="s">
        <v>12</v>
      </c>
      <c r="E23" s="2">
        <v>92</v>
      </c>
      <c r="F23" t="s">
        <v>41</v>
      </c>
      <c r="G23" t="s">
        <v>20</v>
      </c>
      <c r="H23">
        <v>16.11</v>
      </c>
      <c r="I23">
        <v>4.28</v>
      </c>
      <c r="J23">
        <v>6.74</v>
      </c>
      <c r="K23">
        <v>19.5</v>
      </c>
      <c r="L23">
        <v>16.95</v>
      </c>
      <c r="M23">
        <v>18.27</v>
      </c>
    </row>
    <row r="24" spans="1:13" x14ac:dyDescent="0.15">
      <c r="A24" s="3" t="s">
        <v>150</v>
      </c>
      <c r="B24" s="2" t="s">
        <v>141</v>
      </c>
      <c r="C24" s="2" t="s">
        <v>142</v>
      </c>
      <c r="D24" s="2" t="s">
        <v>12</v>
      </c>
      <c r="E24" s="2">
        <v>96</v>
      </c>
      <c r="F24" t="s">
        <v>8</v>
      </c>
      <c r="G24" t="s">
        <v>143</v>
      </c>
      <c r="H24">
        <v>16.21</v>
      </c>
      <c r="I24">
        <v>3.21</v>
      </c>
      <c r="J24">
        <v>13.33</v>
      </c>
      <c r="K24">
        <v>5.83</v>
      </c>
      <c r="L24">
        <v>14.17</v>
      </c>
      <c r="M24">
        <v>19.23</v>
      </c>
    </row>
    <row r="25" spans="1:13" x14ac:dyDescent="0.15">
      <c r="A25" s="3"/>
      <c r="B25" s="2" t="s">
        <v>141</v>
      </c>
      <c r="C25" s="2" t="s">
        <v>142</v>
      </c>
      <c r="D25" s="2" t="s">
        <v>12</v>
      </c>
      <c r="E25" s="2">
        <v>96</v>
      </c>
      <c r="F25" t="s">
        <v>144</v>
      </c>
      <c r="G25" t="s">
        <v>145</v>
      </c>
      <c r="H25">
        <v>14.75</v>
      </c>
      <c r="I25">
        <v>3.29</v>
      </c>
      <c r="J25">
        <v>10.91</v>
      </c>
      <c r="K25">
        <v>8.2200000000000006</v>
      </c>
      <c r="L25">
        <v>23.74</v>
      </c>
      <c r="M25">
        <v>19.13</v>
      </c>
    </row>
    <row r="26" spans="1:13" x14ac:dyDescent="0.15">
      <c r="A26" s="3" t="s">
        <v>151</v>
      </c>
      <c r="B26" s="2" t="s">
        <v>146</v>
      </c>
      <c r="C26" s="2" t="s">
        <v>147</v>
      </c>
      <c r="D26" s="2" t="s">
        <v>12</v>
      </c>
      <c r="E26" s="2">
        <v>100</v>
      </c>
      <c r="F26" t="s">
        <v>8</v>
      </c>
      <c r="G26" t="s">
        <v>28</v>
      </c>
      <c r="H26">
        <v>12.64</v>
      </c>
      <c r="I26">
        <v>2.42</v>
      </c>
      <c r="J26">
        <v>17.79</v>
      </c>
      <c r="K26">
        <v>8.92</v>
      </c>
      <c r="L26">
        <v>17.66</v>
      </c>
      <c r="M26">
        <v>20.09</v>
      </c>
    </row>
    <row r="27" spans="1:13" x14ac:dyDescent="0.15">
      <c r="A27" s="3"/>
      <c r="B27" s="2" t="s">
        <v>146</v>
      </c>
      <c r="C27" s="2" t="s">
        <v>147</v>
      </c>
      <c r="D27" s="2" t="s">
        <v>12</v>
      </c>
      <c r="E27" s="2">
        <v>100</v>
      </c>
      <c r="F27" t="s">
        <v>148</v>
      </c>
      <c r="G27" t="s">
        <v>36</v>
      </c>
      <c r="H27">
        <v>16.600000000000001</v>
      </c>
      <c r="I27">
        <v>3.53</v>
      </c>
      <c r="J27">
        <v>17.28</v>
      </c>
      <c r="K27">
        <v>7.19</v>
      </c>
      <c r="L27">
        <v>19.3</v>
      </c>
      <c r="M27">
        <v>20.13</v>
      </c>
    </row>
  </sheetData>
  <mergeCells count="59">
    <mergeCell ref="B26:B27"/>
    <mergeCell ref="C26:C27"/>
    <mergeCell ref="D26:D27"/>
    <mergeCell ref="E26:E27"/>
    <mergeCell ref="B22:B23"/>
    <mergeCell ref="C22:C23"/>
    <mergeCell ref="D22:D23"/>
    <mergeCell ref="E22:E23"/>
    <mergeCell ref="B24:B25"/>
    <mergeCell ref="C24:C25"/>
    <mergeCell ref="D24:D25"/>
    <mergeCell ref="E24:E25"/>
    <mergeCell ref="A22:A23"/>
    <mergeCell ref="A24:A25"/>
    <mergeCell ref="A26:A27"/>
    <mergeCell ref="A4:A5"/>
    <mergeCell ref="C4:C5"/>
    <mergeCell ref="D4:D5"/>
    <mergeCell ref="E4:E5"/>
    <mergeCell ref="A6:A7"/>
    <mergeCell ref="C6:C7"/>
    <mergeCell ref="D6:D7"/>
    <mergeCell ref="E6:E7"/>
    <mergeCell ref="B4:B5"/>
    <mergeCell ref="B6:B7"/>
    <mergeCell ref="A8:A9"/>
    <mergeCell ref="C8:C9"/>
    <mergeCell ref="D8:D9"/>
    <mergeCell ref="E8:E9"/>
    <mergeCell ref="A10:A11"/>
    <mergeCell ref="C10:C11"/>
    <mergeCell ref="D10:D11"/>
    <mergeCell ref="E10:E11"/>
    <mergeCell ref="B8:B9"/>
    <mergeCell ref="B10:B11"/>
    <mergeCell ref="A12:A13"/>
    <mergeCell ref="C12:C13"/>
    <mergeCell ref="D12:D13"/>
    <mergeCell ref="E12:E13"/>
    <mergeCell ref="A14:A15"/>
    <mergeCell ref="C14:C15"/>
    <mergeCell ref="D14:D15"/>
    <mergeCell ref="E14:E15"/>
    <mergeCell ref="B12:B13"/>
    <mergeCell ref="B14:B15"/>
    <mergeCell ref="A20:A21"/>
    <mergeCell ref="C20:C21"/>
    <mergeCell ref="D20:D21"/>
    <mergeCell ref="E20:E21"/>
    <mergeCell ref="A16:A17"/>
    <mergeCell ref="C16:C17"/>
    <mergeCell ref="D16:D17"/>
    <mergeCell ref="E16:E17"/>
    <mergeCell ref="A18:A19"/>
    <mergeCell ref="B18:B19"/>
    <mergeCell ref="D18:D19"/>
    <mergeCell ref="E18:E19"/>
    <mergeCell ref="B16:B17"/>
    <mergeCell ref="B20:B21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Stats gen</vt:lpstr>
      <vt:lpstr>Stats off</vt:lpstr>
      <vt:lpstr>Stats def</vt:lpstr>
      <vt:lpstr>Stats pass</vt:lpstr>
      <vt:lpstr>Stats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Rémi Dendani</cp:lastModifiedBy>
  <dcterms:modified xsi:type="dcterms:W3CDTF">2026-05-08T21:49:20Z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2026-04-17T13:44:45Z</dcterms:created>
  <cp:revision>0</cp:revision>
</cp:coreProperties>
</file>